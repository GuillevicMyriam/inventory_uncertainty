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80862383\local_documents\python_projects_libs\python_u_and_kca\input_data\input_sub2023\input_emission\"/>
    </mc:Choice>
  </mc:AlternateContent>
  <bookViews>
    <workbookView xWindow="0" yWindow="0" windowWidth="10200" windowHeight="8025" activeTab="1"/>
  </bookViews>
  <sheets>
    <sheet name="readme" sheetId="8" r:id="rId1"/>
    <sheet name="change_log" sheetId="9" r:id="rId2"/>
    <sheet name="EM_for_U_KCA" sheetId="1" r:id="rId3"/>
    <sheet name="LULUCF_EM_for_U_KCA" sheetId="11" r:id="rId4"/>
    <sheet name="EM_3B_N2O" sheetId="4" r:id="rId5"/>
    <sheet name="EM_2D_2G_check" sheetId="6" r:id="rId6"/>
    <sheet name="EM_4G" sheetId="12" r:id="rId7"/>
    <sheet name="mapping" sheetId="2" r:id="rId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" i="12" l="1"/>
  <c r="B6" i="12"/>
  <c r="C6" i="12" s="1"/>
  <c r="D6" i="12" s="1"/>
  <c r="E6" i="12" s="1"/>
  <c r="F6" i="12" s="1"/>
  <c r="G6" i="12" s="1"/>
  <c r="H6" i="12" s="1"/>
  <c r="I6" i="12" s="1"/>
  <c r="J6" i="12" s="1"/>
  <c r="K6" i="12" s="1"/>
  <c r="L6" i="12" s="1"/>
  <c r="M6" i="12" s="1"/>
  <c r="N6" i="12" s="1"/>
  <c r="O6" i="12" s="1"/>
  <c r="K13" i="12" l="1"/>
  <c r="L13" i="12"/>
  <c r="M13" i="12"/>
  <c r="N13" i="12"/>
  <c r="O13" i="12"/>
  <c r="I13" i="12"/>
  <c r="J13" i="12" l="1"/>
  <c r="B9" i="6" l="1"/>
  <c r="C9" i="6"/>
  <c r="D9" i="6"/>
  <c r="E9" i="6"/>
  <c r="F9" i="6"/>
  <c r="G9" i="6"/>
  <c r="H9" i="6"/>
  <c r="A9" i="6"/>
  <c r="E8" i="4"/>
  <c r="I8" i="4"/>
  <c r="J8" i="4"/>
  <c r="K8" i="4"/>
  <c r="L8" i="4"/>
  <c r="M8" i="4"/>
  <c r="N8" i="4"/>
  <c r="O8" i="4"/>
  <c r="O9" i="4"/>
  <c r="B9" i="4"/>
  <c r="C9" i="4"/>
  <c r="D9" i="4"/>
  <c r="E9" i="4"/>
  <c r="F9" i="4"/>
  <c r="G9" i="4"/>
  <c r="H9" i="4"/>
  <c r="I9" i="4"/>
  <c r="K9" i="4"/>
  <c r="L9" i="4"/>
  <c r="M9" i="4"/>
  <c r="N9" i="4"/>
  <c r="O24" i="6" l="1"/>
  <c r="O123" i="1" s="1"/>
  <c r="M24" i="6"/>
  <c r="M123" i="1" s="1"/>
  <c r="N24" i="6"/>
  <c r="N123" i="1" s="1"/>
  <c r="L24" i="6"/>
  <c r="L123" i="1" s="1"/>
  <c r="I24" i="6"/>
  <c r="I123" i="1" s="1"/>
  <c r="M16" i="6"/>
  <c r="M134" i="1" s="1"/>
  <c r="K16" i="6"/>
  <c r="K134" i="1" s="1"/>
  <c r="L16" i="6"/>
  <c r="L134" i="1" s="1"/>
  <c r="O16" i="6"/>
  <c r="O134" i="1" s="1"/>
  <c r="N16" i="6"/>
  <c r="N134" i="1" s="1"/>
  <c r="I16" i="6"/>
  <c r="O29" i="4"/>
  <c r="O31" i="4" s="1"/>
  <c r="N29" i="4"/>
  <c r="N31" i="4" s="1"/>
  <c r="M29" i="4"/>
  <c r="M31" i="4" s="1"/>
  <c r="L29" i="4"/>
  <c r="L31" i="4" s="1"/>
  <c r="K29" i="4"/>
  <c r="K31" i="4" s="1"/>
  <c r="J9" i="11" l="1"/>
  <c r="B6" i="11"/>
  <c r="C6" i="11" s="1"/>
  <c r="D6" i="11" s="1"/>
  <c r="E6" i="11" s="1"/>
  <c r="F6" i="11" s="1"/>
  <c r="G6" i="11" s="1"/>
  <c r="H6" i="11" s="1"/>
  <c r="I6" i="11" s="1"/>
  <c r="J6" i="11" s="1"/>
  <c r="K6" i="11" s="1"/>
  <c r="L6" i="11" s="1"/>
  <c r="M6" i="11" s="1"/>
  <c r="N6" i="11" s="1"/>
  <c r="O6" i="11" s="1"/>
  <c r="J9" i="6" l="1"/>
  <c r="J24" i="6" l="1"/>
  <c r="J123" i="1" s="1"/>
  <c r="J16" i="6"/>
  <c r="J134" i="1" s="1"/>
  <c r="K24" i="6"/>
  <c r="K123" i="1" s="1"/>
  <c r="I134" i="1" l="1"/>
  <c r="A9" i="4"/>
  <c r="B6" i="1" l="1"/>
  <c r="C6" i="1" s="1"/>
  <c r="D6" i="1" s="1"/>
  <c r="E6" i="1" s="1"/>
  <c r="F6" i="1" s="1"/>
  <c r="G6" i="1" s="1"/>
  <c r="H6" i="1" s="1"/>
  <c r="I6" i="1" s="1"/>
  <c r="J6" i="1" s="1"/>
  <c r="K6" i="1" s="1"/>
  <c r="L6" i="1" s="1"/>
  <c r="M6" i="1" s="1"/>
  <c r="N6" i="1" s="1"/>
  <c r="O6" i="1" s="1"/>
  <c r="E179" i="1"/>
  <c r="E180" i="1"/>
  <c r="E100" i="1"/>
  <c r="E101" i="1"/>
  <c r="E102" i="1"/>
  <c r="E103" i="1"/>
  <c r="E104" i="1"/>
  <c r="J9" i="1" l="1"/>
  <c r="J9" i="4" l="1"/>
  <c r="L143" i="1"/>
  <c r="M143" i="1"/>
  <c r="N143" i="1"/>
  <c r="O143" i="1"/>
  <c r="J29" i="4" l="1"/>
  <c r="J31" i="4" s="1"/>
  <c r="I29" i="4"/>
  <c r="I31" i="4" s="1"/>
  <c r="J143" i="1" l="1"/>
  <c r="K143" i="1"/>
  <c r="I143" i="1"/>
  <c r="E99" i="1" l="1"/>
  <c r="E98" i="1" l="1"/>
  <c r="E94" i="1"/>
  <c r="E95" i="1"/>
  <c r="E96" i="1"/>
  <c r="E9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10" i="1"/>
  <c r="E11" i="1"/>
  <c r="I204" i="1" l="1"/>
</calcChain>
</file>

<file path=xl/sharedStrings.xml><?xml version="1.0" encoding="utf-8"?>
<sst xmlns="http://schemas.openxmlformats.org/spreadsheetml/2006/main" count="2055" uniqueCount="264">
  <si>
    <t>Fuel</t>
  </si>
  <si>
    <t>Einheit</t>
  </si>
  <si>
    <t>Attribut</t>
  </si>
  <si>
    <t>1A1</t>
  </si>
  <si>
    <t>1A2</t>
  </si>
  <si>
    <t>1A3a</t>
  </si>
  <si>
    <t>1A3b</t>
  </si>
  <si>
    <t>1A3c</t>
  </si>
  <si>
    <t>1A3d</t>
  </si>
  <si>
    <t>1A3e</t>
  </si>
  <si>
    <t>1A4a</t>
  </si>
  <si>
    <t>1A4b</t>
  </si>
  <si>
    <t>1A4c</t>
  </si>
  <si>
    <t>Biomass</t>
  </si>
  <si>
    <t>CH4</t>
  </si>
  <si>
    <t>CO2</t>
  </si>
  <si>
    <t>N2O</t>
  </si>
  <si>
    <t>Diesel</t>
  </si>
  <si>
    <t>Gasoline</t>
  </si>
  <si>
    <t>LPG</t>
  </si>
  <si>
    <t>kt</t>
  </si>
  <si>
    <t>1 A 1</t>
  </si>
  <si>
    <t>Mapping Gut</t>
  </si>
  <si>
    <t>CRF-Bio Fuels</t>
  </si>
  <si>
    <t>CRF-Gaseous Fuels</t>
  </si>
  <si>
    <t>CRF-Liquid Fuels</t>
  </si>
  <si>
    <t>CRF-Solid Fuels</t>
  </si>
  <si>
    <t>CRF-Other Fuels</t>
  </si>
  <si>
    <t>Benzin</t>
  </si>
  <si>
    <t>Copy from Auszug KCA GHG. Not sure it is correct</t>
  </si>
  <si>
    <t>Kerosene should be a sub category from CRF-Liquid fuels</t>
  </si>
  <si>
    <t>otherwise: kerosene -&gt; kerosin</t>
  </si>
  <si>
    <t>1A5</t>
  </si>
  <si>
    <t>2A1</t>
  </si>
  <si>
    <t>2A2</t>
  </si>
  <si>
    <t>2A3</t>
  </si>
  <si>
    <t>2A4</t>
  </si>
  <si>
    <t>2B5</t>
  </si>
  <si>
    <t>2B8</t>
  </si>
  <si>
    <t>2B10</t>
  </si>
  <si>
    <t>2B2</t>
  </si>
  <si>
    <t>2C1</t>
  </si>
  <si>
    <t>2C3</t>
  </si>
  <si>
    <t>2C4</t>
  </si>
  <si>
    <t>2C7</t>
  </si>
  <si>
    <t>2D</t>
  </si>
  <si>
    <t>2E1</t>
  </si>
  <si>
    <t>2E3</t>
  </si>
  <si>
    <t>2E5</t>
  </si>
  <si>
    <t>2F1</t>
  </si>
  <si>
    <t>2F2</t>
  </si>
  <si>
    <t>2F4</t>
  </si>
  <si>
    <t>2F5</t>
  </si>
  <si>
    <t>2G</t>
  </si>
  <si>
    <t>2H</t>
  </si>
  <si>
    <t>3A</t>
  </si>
  <si>
    <t>3B5</t>
  </si>
  <si>
    <t>3Da</t>
  </si>
  <si>
    <t>3Db</t>
  </si>
  <si>
    <t>3G</t>
  </si>
  <si>
    <t>3H</t>
  </si>
  <si>
    <t>4II</t>
  </si>
  <si>
    <t>4III</t>
  </si>
  <si>
    <t>4IV</t>
  </si>
  <si>
    <t>4V</t>
  </si>
  <si>
    <t>4A1</t>
  </si>
  <si>
    <t>4A2</t>
  </si>
  <si>
    <t>4B1</t>
  </si>
  <si>
    <t>4B2</t>
  </si>
  <si>
    <t>4C1</t>
  </si>
  <si>
    <t>4C2</t>
  </si>
  <si>
    <t>4D1</t>
  </si>
  <si>
    <t>4D2</t>
  </si>
  <si>
    <t>4E1</t>
  </si>
  <si>
    <t>4E2</t>
  </si>
  <si>
    <t>4F2</t>
  </si>
  <si>
    <t>4G</t>
  </si>
  <si>
    <t>5A</t>
  </si>
  <si>
    <t>5B</t>
  </si>
  <si>
    <t>5C</t>
  </si>
  <si>
    <t>5D</t>
  </si>
  <si>
    <t>1B</t>
  </si>
  <si>
    <t>2A</t>
  </si>
  <si>
    <t>2B</t>
  </si>
  <si>
    <t>2C</t>
  </si>
  <si>
    <t>5E</t>
  </si>
  <si>
    <t>6A</t>
  </si>
  <si>
    <t/>
  </si>
  <si>
    <t>SF6</t>
  </si>
  <si>
    <t>NF3</t>
  </si>
  <si>
    <t xml:space="preserve">1 A 2 </t>
  </si>
  <si>
    <t xml:space="preserve">1 A 3 a </t>
  </si>
  <si>
    <t xml:space="preserve">1 A 3 b </t>
  </si>
  <si>
    <t xml:space="preserve">1 A 3 c </t>
  </si>
  <si>
    <t xml:space="preserve">1 A 3 d </t>
  </si>
  <si>
    <t xml:space="preserve">1 A 3 e </t>
  </si>
  <si>
    <t xml:space="preserve">1 A 4 a </t>
  </si>
  <si>
    <t xml:space="preserve">1 A 4 b </t>
  </si>
  <si>
    <t xml:space="preserve">1 A 4 c </t>
  </si>
  <si>
    <t xml:space="preserve">1 A 5 </t>
  </si>
  <si>
    <t xml:space="preserve">2 A 1 </t>
  </si>
  <si>
    <t xml:space="preserve">2 A 2 </t>
  </si>
  <si>
    <t xml:space="preserve">2 A 3 </t>
  </si>
  <si>
    <t xml:space="preserve">2 A 4 </t>
  </si>
  <si>
    <t xml:space="preserve">2 B 5 </t>
  </si>
  <si>
    <t xml:space="preserve">2 B 2 </t>
  </si>
  <si>
    <t xml:space="preserve">2 C 1 </t>
  </si>
  <si>
    <t xml:space="preserve">2 C 3 </t>
  </si>
  <si>
    <t xml:space="preserve">2 C 4 </t>
  </si>
  <si>
    <t xml:space="preserve">2 C 7 </t>
  </si>
  <si>
    <t xml:space="preserve">2 D </t>
  </si>
  <si>
    <t xml:space="preserve">2 E 1 </t>
  </si>
  <si>
    <t xml:space="preserve">2 E 3 </t>
  </si>
  <si>
    <t xml:space="preserve">2 F 1 </t>
  </si>
  <si>
    <t xml:space="preserve">2 F 2 </t>
  </si>
  <si>
    <t xml:space="preserve">2 F 4 </t>
  </si>
  <si>
    <t xml:space="preserve">2 F 5 </t>
  </si>
  <si>
    <t xml:space="preserve">2 G </t>
  </si>
  <si>
    <t xml:space="preserve">3 B </t>
  </si>
  <si>
    <t xml:space="preserve">3 B 5 </t>
  </si>
  <si>
    <t xml:space="preserve">3 D a </t>
  </si>
  <si>
    <t xml:space="preserve">3 D b </t>
  </si>
  <si>
    <t xml:space="preserve">3 G </t>
  </si>
  <si>
    <t xml:space="preserve">3 H </t>
  </si>
  <si>
    <t xml:space="preserve">4 V </t>
  </si>
  <si>
    <t xml:space="preserve">4 A 1 </t>
  </si>
  <si>
    <t xml:space="preserve">4 A 2 </t>
  </si>
  <si>
    <t xml:space="preserve">4 B 1 </t>
  </si>
  <si>
    <t xml:space="preserve">4 B 2 </t>
  </si>
  <si>
    <t xml:space="preserve">4 C 1 </t>
  </si>
  <si>
    <t xml:space="preserve">4 C 2 </t>
  </si>
  <si>
    <t xml:space="preserve">4 D 1 </t>
  </si>
  <si>
    <t xml:space="preserve">4 D 2 </t>
  </si>
  <si>
    <t xml:space="preserve">4 E 1 </t>
  </si>
  <si>
    <t xml:space="preserve">4 E 2 </t>
  </si>
  <si>
    <t xml:space="preserve">4 F 2 </t>
  </si>
  <si>
    <t xml:space="preserve">4 G </t>
  </si>
  <si>
    <t xml:space="preserve">5 B </t>
  </si>
  <si>
    <t xml:space="preserve">5 C </t>
  </si>
  <si>
    <t xml:space="preserve">5 D </t>
  </si>
  <si>
    <t xml:space="preserve">3 A </t>
  </si>
  <si>
    <t xml:space="preserve">5 A </t>
  </si>
  <si>
    <t>1 A 2</t>
  </si>
  <si>
    <t>2 E 5</t>
  </si>
  <si>
    <t>FUEL, MESAP</t>
  </si>
  <si>
    <t>Pollutant/gas, MESAP</t>
  </si>
  <si>
    <t>mapping Gas</t>
  </si>
  <si>
    <t>CO2 tot</t>
  </si>
  <si>
    <t>CRF-All fuels</t>
  </si>
  <si>
    <t>All fuels</t>
  </si>
  <si>
    <t>2 B 8 b CRF</t>
  </si>
  <si>
    <t>2 B 10 CRF</t>
  </si>
  <si>
    <t>4 II</t>
  </si>
  <si>
    <t>4 III</t>
  </si>
  <si>
    <t>4 IV</t>
  </si>
  <si>
    <t>C</t>
  </si>
  <si>
    <t>6 - Other sources</t>
  </si>
  <si>
    <t>2 C 3</t>
  </si>
  <si>
    <t>mapping gas for GWP</t>
  </si>
  <si>
    <t>CO2 fossil</t>
  </si>
  <si>
    <t>1 B</t>
  </si>
  <si>
    <t>2 B</t>
  </si>
  <si>
    <t>2 C</t>
  </si>
  <si>
    <t>2 D</t>
  </si>
  <si>
    <t>2 G</t>
  </si>
  <si>
    <t>2 H</t>
  </si>
  <si>
    <t>5 C</t>
  </si>
  <si>
    <t>5 E</t>
  </si>
  <si>
    <t>2 A</t>
  </si>
  <si>
    <t>Process, MESAP</t>
  </si>
  <si>
    <t>Gut in MESAP</t>
  </si>
  <si>
    <t>it has to be -1 but I don't know why, GMY 20211222</t>
  </si>
  <si>
    <t>Aggregation for Emission for 3B1, 3B2, 3B3 and 3B4, for N2O</t>
  </si>
  <si>
    <t>3 B 2</t>
  </si>
  <si>
    <t>3 B 3</t>
  </si>
  <si>
    <t>3 B 1 a</t>
  </si>
  <si>
    <t>3 B 1 b</t>
  </si>
  <si>
    <t>3 B 1 c</t>
  </si>
  <si>
    <t>3 B 4 b</t>
  </si>
  <si>
    <t>3 B 4 c</t>
  </si>
  <si>
    <t>3 B 4 d</t>
  </si>
  <si>
    <t>3 B 4 e</t>
  </si>
  <si>
    <t>3 B 4 f</t>
  </si>
  <si>
    <t>3 B 4 g</t>
  </si>
  <si>
    <t>3 B 4 h i</t>
  </si>
  <si>
    <t>3 B 4 h ii</t>
  </si>
  <si>
    <t>3 B 4 h iii</t>
  </si>
  <si>
    <t>3 B 5</t>
  </si>
  <si>
    <t>sum 3B1, 3B2, 3B3, 3B4</t>
  </si>
  <si>
    <t>check: sum 3B1, 3B2, 3B3, 3B4, 3B5</t>
  </si>
  <si>
    <t>3B1-4</t>
  </si>
  <si>
    <t>MESAP: missing aggregation for 3B4, N2O</t>
  </si>
  <si>
    <t>2 G 4 CRF</t>
  </si>
  <si>
    <t>2G for NIR</t>
  </si>
  <si>
    <t>2G as in EMIS</t>
  </si>
  <si>
    <t>GMY 20220107: in EMIS, for CO2, 2G does not count 2G 4 CRF, which is instead included in 2D. I don't know why but this is not in agreement with NIR reporting.</t>
  </si>
  <si>
    <t>2D as in EMIS</t>
  </si>
  <si>
    <t>Subtract 2G 4 CRF from 2D.</t>
  </si>
  <si>
    <t>Add 2G 4 CRF to 2G.</t>
  </si>
  <si>
    <t>3B5 does not exist for CH4 so 3B is the same as 3B1-4</t>
  </si>
  <si>
    <t>PFCs</t>
  </si>
  <si>
    <t>HFCs</t>
  </si>
  <si>
    <t>Emission CO2eq</t>
  </si>
  <si>
    <t>GMY</t>
  </si>
  <si>
    <t>This excel sheet is to extract/compute emissions for GHGs as used for the uncertainty computation and KCA.</t>
  </si>
  <si>
    <t>What to do for the yearly actualisation</t>
  </si>
  <si>
    <t>Base year</t>
  </si>
  <si>
    <t>Reported year -1</t>
  </si>
  <si>
    <t>Reported year</t>
  </si>
  <si>
    <t>Go to EM_for_U_KCA and update the reporting year at line 8.</t>
  </si>
  <si>
    <t>The base year should remain 1990. The reported year -1 is updated automatically.</t>
  </si>
  <si>
    <t>1B2a</t>
  </si>
  <si>
    <t>1 B 2 a</t>
  </si>
  <si>
    <t>1B2b</t>
  </si>
  <si>
    <t>1 B 2 b</t>
  </si>
  <si>
    <t>2G3</t>
  </si>
  <si>
    <t>2G4</t>
  </si>
  <si>
    <t>2 G 3</t>
  </si>
  <si>
    <t>CO2 fossil ox NMVOC total</t>
  </si>
  <si>
    <t>CO2 fossil ox CH4</t>
  </si>
  <si>
    <t>CO2 fossil ox CO</t>
  </si>
  <si>
    <t>Indirect CRT emission</t>
  </si>
  <si>
    <t>6 A</t>
  </si>
  <si>
    <t>Compound</t>
  </si>
  <si>
    <t>EM, kt</t>
  </si>
  <si>
    <t>Category code</t>
  </si>
  <si>
    <t>1B2c</t>
  </si>
  <si>
    <t>1 B 2 c</t>
  </si>
  <si>
    <t>1A2 Other fuels: now it should directly be == CRF template (CSS biogen/fossil, etc.).</t>
  </si>
  <si>
    <t>CS-CH-LB Carbon gains</t>
  </si>
  <si>
    <t>CS-CH-LB Carbon losses</t>
  </si>
  <si>
    <t>Net CS-CH-S Carbon min soils</t>
  </si>
  <si>
    <t>Net CS-CH-S Carbon org soils</t>
  </si>
  <si>
    <t>Kerosin fossil</t>
  </si>
  <si>
    <t>Kerosin biogen</t>
  </si>
  <si>
    <t>2D1</t>
  </si>
  <si>
    <t>2D2</t>
  </si>
  <si>
    <t>2D3</t>
  </si>
  <si>
    <t>2 D 1</t>
  </si>
  <si>
    <t>2 D 2</t>
  </si>
  <si>
    <t>2 D 3</t>
  </si>
  <si>
    <t>2D3 CRT</t>
  </si>
  <si>
    <t>2 D 3 a CRF Solvent use</t>
  </si>
  <si>
    <t>2 D 3 b</t>
  </si>
  <si>
    <t>2 D 3 c</t>
  </si>
  <si>
    <t>2 D 3 d</t>
  </si>
  <si>
    <t>Sum for 2D3 CRT</t>
  </si>
  <si>
    <t>2H3</t>
  </si>
  <si>
    <t>2 H 3</t>
  </si>
  <si>
    <t>2 G NFR 2 G 4 CRF</t>
  </si>
  <si>
    <t>Gaseous fuels</t>
  </si>
  <si>
    <t>Liquid fuels</t>
  </si>
  <si>
    <t>Solid fuels</t>
  </si>
  <si>
    <t>Other fuels</t>
  </si>
  <si>
    <t>Liquefied petroleum gas</t>
  </si>
  <si>
    <t>Kerosene fossil</t>
  </si>
  <si>
    <t>Kerosene biogenic</t>
  </si>
  <si>
    <t>All Carbon stock</t>
  </si>
  <si>
    <t>Net CS-CH-DOM Carbon</t>
  </si>
  <si>
    <t>2G4 CRF included within 2D</t>
  </si>
  <si>
    <t>CO2 biog.</t>
  </si>
  <si>
    <t>C + CO2 biog.</t>
  </si>
  <si>
    <t>Invalid time series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</si>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</sst>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Frutiger Light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90">
    <xf numFmtId="0" fontId="0" fillId="0" borderId="0" xfId="0"/>
    <xf numFmtId="0" fontId="1" fillId="0" borderId="1" xfId="1" applyFont="1" applyBorder="1" applyAlignment="1">
      <alignment horizontal="center" vertical="center"/>
    </xf>
    <xf numFmtId="0" fontId="1" fillId="0" borderId="1" xfId="1" applyFont="1" applyFill="1" applyBorder="1" applyAlignment="1">
      <alignment horizontal="center" vertical="center"/>
    </xf>
    <xf numFmtId="0" fontId="1" fillId="0" borderId="1" xfId="1" applyFont="1" applyBorder="1" applyAlignment="1">
      <alignment horizontal="left" vertical="center"/>
    </xf>
    <xf numFmtId="0" fontId="1" fillId="0" borderId="1" xfId="1" applyFont="1" applyFill="1" applyBorder="1" applyAlignment="1">
      <alignment horizontal="left" vertical="center"/>
    </xf>
    <xf numFmtId="0" fontId="0" fillId="0" borderId="1" xfId="1" applyFont="1" applyBorder="1" applyAlignment="1">
      <alignment horizontal="center" vertical="center"/>
    </xf>
    <xf numFmtId="0" fontId="1" fillId="0" borderId="2" xfId="1" applyFont="1" applyFill="1" applyBorder="1" applyAlignment="1">
      <alignment horizontal="left" vertical="center"/>
    </xf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18" fontId="0" fillId="0" borderId="0" xfId="0" applyNumberFormat="1"/>
    <xf numFmtId="49" fontId="0" fillId="0" borderId="1" xfId="0" applyNumberFormat="1" applyBorder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3" xfId="0" applyBorder="1"/>
    <xf numFmtId="0" fontId="0" fillId="3" borderId="1" xfId="1" applyFont="1" applyFill="1" applyBorder="1" applyAlignment="1">
      <alignment horizontal="left" vertical="center"/>
    </xf>
    <xf numFmtId="0" fontId="0" fillId="4" borderId="1" xfId="0" applyFill="1" applyBorder="1" applyAlignment="1" applyProtection="1">
      <alignment horizontal="center"/>
      <protection locked="0"/>
    </xf>
    <xf numFmtId="0" fontId="0" fillId="0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0" fillId="5" borderId="1" xfId="0" applyNumberFormat="1" applyFill="1" applyBorder="1" applyAlignment="1">
      <alignment horizontal="center"/>
    </xf>
    <xf numFmtId="0" fontId="0" fillId="6" borderId="0" xfId="0" applyFill="1"/>
    <xf numFmtId="0" fontId="0" fillId="6" borderId="1" xfId="0" applyFill="1" applyBorder="1"/>
    <xf numFmtId="0" fontId="1" fillId="6" borderId="1" xfId="1" applyFont="1" applyFill="1" applyBorder="1" applyAlignment="1">
      <alignment horizontal="center" vertical="center"/>
    </xf>
    <xf numFmtId="49" fontId="0" fillId="6" borderId="1" xfId="0" applyNumberFormat="1" applyFill="1" applyBorder="1" applyAlignment="1">
      <alignment horizontal="center"/>
    </xf>
    <xf numFmtId="0" fontId="1" fillId="6" borderId="1" xfId="1" applyFont="1" applyFill="1" applyBorder="1" applyAlignment="1">
      <alignment horizontal="left" vertical="center"/>
    </xf>
    <xf numFmtId="0" fontId="0" fillId="6" borderId="1" xfId="0" applyFill="1" applyBorder="1" applyAlignment="1">
      <alignment horizontal="center"/>
    </xf>
    <xf numFmtId="0" fontId="1" fillId="5" borderId="1" xfId="1" applyFont="1" applyFill="1" applyBorder="1" applyAlignment="1">
      <alignment horizontal="center" vertical="center"/>
    </xf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Fill="1" applyBorder="1"/>
    <xf numFmtId="0" fontId="0" fillId="8" borderId="1" xfId="0" applyFill="1" applyBorder="1"/>
    <xf numFmtId="0" fontId="0" fillId="0" borderId="0" xfId="0" applyFill="1" applyBorder="1"/>
    <xf numFmtId="49" fontId="0" fillId="8" borderId="1" xfId="0" applyNumberFormat="1" applyFill="1" applyBorder="1"/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0" xfId="0" applyFill="1"/>
    <xf numFmtId="0" fontId="0" fillId="9" borderId="1" xfId="0" applyFill="1" applyBorder="1"/>
    <xf numFmtId="0" fontId="0" fillId="9" borderId="0" xfId="0" applyFill="1"/>
    <xf numFmtId="0" fontId="0" fillId="10" borderId="1" xfId="0" applyFill="1" applyBorder="1"/>
    <xf numFmtId="0" fontId="1" fillId="10" borderId="1" xfId="1" applyFont="1" applyFill="1" applyBorder="1" applyAlignment="1">
      <alignment horizontal="center" vertical="center"/>
    </xf>
    <xf numFmtId="49" fontId="0" fillId="10" borderId="1" xfId="0" applyNumberFormat="1" applyFill="1" applyBorder="1" applyAlignment="1">
      <alignment horizontal="center"/>
    </xf>
    <xf numFmtId="0" fontId="1" fillId="10" borderId="1" xfId="1" applyFont="1" applyFill="1" applyBorder="1" applyAlignment="1">
      <alignment horizontal="left" vertical="center"/>
    </xf>
    <xf numFmtId="0" fontId="0" fillId="10" borderId="1" xfId="0" applyFill="1" applyBorder="1" applyAlignment="1">
      <alignment horizontal="center"/>
    </xf>
    <xf numFmtId="0" fontId="0" fillId="10" borderId="0" xfId="0" applyFill="1"/>
    <xf numFmtId="0" fontId="0" fillId="2" borderId="4" xfId="0" applyFill="1" applyBorder="1" applyAlignment="1">
      <alignment horizontal="center" vertical="center" wrapText="1"/>
    </xf>
    <xf numFmtId="0" fontId="0" fillId="11" borderId="1" xfId="0" applyFill="1" applyBorder="1"/>
    <xf numFmtId="0" fontId="0" fillId="11" borderId="1" xfId="0" applyFill="1" applyBorder="1" applyAlignment="1">
      <alignment horizontal="center"/>
    </xf>
    <xf numFmtId="0" fontId="0" fillId="7" borderId="0" xfId="0" applyFill="1"/>
    <xf numFmtId="0" fontId="0" fillId="11" borderId="0" xfId="0" applyFill="1"/>
    <xf numFmtId="0" fontId="0" fillId="0" borderId="0" xfId="1" applyFont="1" applyFill="1" applyBorder="1" applyAlignment="1">
      <alignment horizontal="center" vertical="center"/>
    </xf>
    <xf numFmtId="0" fontId="0" fillId="6" borderId="1" xfId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" fillId="0" borderId="0" xfId="1" applyFont="1" applyFill="1" applyBorder="1" applyAlignment="1">
      <alignment horizontal="left" vertical="center"/>
    </xf>
    <xf numFmtId="0" fontId="1" fillId="0" borderId="0" xfId="1" applyFont="1" applyFill="1" applyBorder="1" applyAlignment="1">
      <alignment horizontal="center" vertical="center"/>
    </xf>
    <xf numFmtId="0" fontId="0" fillId="5" borderId="1" xfId="0" applyFill="1" applyBorder="1"/>
    <xf numFmtId="0" fontId="1" fillId="5" borderId="1" xfId="1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wrapText="1"/>
    </xf>
    <xf numFmtId="14" fontId="0" fillId="0" borderId="0" xfId="0" applyNumberFormat="1"/>
    <xf numFmtId="0" fontId="0" fillId="0" borderId="0" xfId="0" applyAlignment="1">
      <alignment vertical="center"/>
    </xf>
    <xf numFmtId="0" fontId="0" fillId="12" borderId="1" xfId="0" applyFill="1" applyBorder="1"/>
    <xf numFmtId="0" fontId="1" fillId="12" borderId="1" xfId="1" applyFont="1" applyFill="1" applyBorder="1" applyAlignment="1">
      <alignment horizontal="center" vertical="center"/>
    </xf>
    <xf numFmtId="49" fontId="0" fillId="12" borderId="1" xfId="0" applyNumberFormat="1" applyFill="1" applyBorder="1" applyAlignment="1">
      <alignment horizontal="center"/>
    </xf>
    <xf numFmtId="0" fontId="1" fillId="12" borderId="1" xfId="1" applyFont="1" applyFill="1" applyBorder="1" applyAlignment="1">
      <alignment horizontal="left" vertical="center"/>
    </xf>
    <xf numFmtId="0" fontId="0" fillId="12" borderId="1" xfId="0" applyFill="1" applyBorder="1" applyAlignment="1">
      <alignment horizontal="center"/>
    </xf>
    <xf numFmtId="0" fontId="0" fillId="13" borderId="1" xfId="0" applyFill="1" applyBorder="1"/>
    <xf numFmtId="49" fontId="0" fillId="14" borderId="1" xfId="0" applyNumberFormat="1" applyFill="1" applyBorder="1"/>
    <xf numFmtId="0" fontId="0" fillId="0" borderId="1" xfId="1" applyFont="1" applyBorder="1" applyAlignment="1">
      <alignment horizontal="left" vertical="center"/>
    </xf>
    <xf numFmtId="49" fontId="0" fillId="13" borderId="1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0" fontId="4" fillId="0" borderId="1" xfId="0" applyFont="1" applyFill="1" applyBorder="1"/>
    <xf numFmtId="0" fontId="0" fillId="15" borderId="0" xfId="0" applyFill="1"/>
    <xf numFmtId="0" fontId="0" fillId="9" borderId="4" xfId="0" applyFill="1" applyBorder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0" fontId="0" fillId="6" borderId="4" xfId="0" applyFill="1" applyBorder="1"/>
    <xf numFmtId="0" fontId="1" fillId="15" borderId="1" xfId="1" applyFont="1" applyFill="1" applyBorder="1" applyAlignment="1">
      <alignment horizontal="center" vertical="center"/>
    </xf>
    <xf numFmtId="0" fontId="0" fillId="15" borderId="1" xfId="0" applyFill="1" applyBorder="1"/>
    <xf numFmtId="0" fontId="0" fillId="15" borderId="1" xfId="0" applyFill="1" applyBorder="1" applyAlignment="1">
      <alignment horizontal="center"/>
    </xf>
    <xf numFmtId="49" fontId="0" fillId="15" borderId="1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0" fillId="0" borderId="4" xfId="0" applyBorder="1"/>
    <xf numFmtId="0" fontId="0" fillId="15" borderId="4" xfId="0" applyFill="1" applyBorder="1" applyAlignment="1">
      <alignment horizontal="center"/>
    </xf>
    <xf numFmtId="0" fontId="1" fillId="10" borderId="4" xfId="1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horizontal="center"/>
    </xf>
    <xf numFmtId="4" fontId="0" fillId="0" borderId="0" xfId="0" applyNumberFormat="1" applyFill="1"/>
    <xf numFmtId="0" fontId="2" fillId="0" borderId="0" xfId="0" applyFont="1" applyAlignment="1">
      <alignment horizontal="center"/>
    </xf>
  </cellXfs>
  <cellStyles count="2">
    <cellStyle name="Normal" xfId="0" builtinId="0"/>
    <cellStyle name="Standard 2" xfId="1"/>
  </cellStyles>
  <dxfs count="2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7"/>
  <sheetViews>
    <sheetView workbookViewId="0">
      <selection activeCell="C8" sqref="C8"/>
    </sheetView>
  </sheetViews>
  <sheetFormatPr baseColWidth="10" defaultRowHeight="12.75"/>
  <cols>
    <col min="3" max="3" width="67.85546875" customWidth="1"/>
  </cols>
  <sheetData>
    <row r="3" spans="1:3">
      <c r="A3" s="61">
        <v>44782</v>
      </c>
      <c r="B3" t="s">
        <v>203</v>
      </c>
      <c r="C3" t="s">
        <v>204</v>
      </c>
    </row>
    <row r="5" spans="1:3">
      <c r="C5" t="s">
        <v>205</v>
      </c>
    </row>
    <row r="6" spans="1:3">
      <c r="C6" t="s">
        <v>209</v>
      </c>
    </row>
    <row r="7" spans="1:3">
      <c r="C7" t="s">
        <v>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4"/>
  <sheetViews>
    <sheetView tabSelected="1" workbookViewId="0">
      <selection activeCell="A4" sqref="A4:C4"/>
    </sheetView>
  </sheetViews>
  <sheetFormatPr baseColWidth="10" defaultRowHeight="12.75"/>
  <sheetData>
    <row r="3" spans="1:3">
      <c r="A3" s="61">
        <v>44782</v>
      </c>
      <c r="B3" t="s">
        <v>203</v>
      </c>
      <c r="C3" t="s">
        <v>228</v>
      </c>
    </row>
    <row r="4" spans="1:3">
      <c r="A4" s="6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78"/>
  <sheetViews>
    <sheetView zoomScale="90" zoomScaleNormal="90" workbookViewId="0">
      <pane ySplit="2490" topLeftCell="A181" activePane="bottomLeft"/>
      <selection activeCell="F6" sqref="F6:O6"/>
      <selection pane="bottomLeft" activeCell="I204" sqref="I204"/>
    </sheetView>
  </sheetViews>
  <sheetFormatPr baseColWidth="10" defaultRowHeight="12.75"/>
  <cols>
    <col min="2" max="2" width="22.28515625" bestFit="1" customWidth="1"/>
    <col min="3" max="3" width="24.42578125" bestFit="1" customWidth="1"/>
    <col min="4" max="4" width="23.85546875" customWidth="1"/>
    <col min="5" max="5" width="28.5703125" bestFit="1" customWidth="1"/>
    <col min="6" max="6" width="24.42578125" bestFit="1" customWidth="1"/>
    <col min="7" max="7" width="7.140625" bestFit="1" customWidth="1"/>
    <col min="8" max="8" width="27.28515625" bestFit="1" customWidth="1"/>
    <col min="9" max="9" width="20.28515625" bestFit="1" customWidth="1"/>
    <col min="10" max="15" width="12.7109375" customWidth="1"/>
  </cols>
  <sheetData>
    <row r="1" spans="1:15">
      <c r="A1" t="s">
        <v>191</v>
      </c>
    </row>
    <row r="6" spans="1:15">
      <c r="A6" s="37">
        <v>1</v>
      </c>
      <c r="B6" s="37">
        <f t="shared" ref="B6:F6" si="0">A6+1</f>
        <v>2</v>
      </c>
      <c r="C6" s="37">
        <f t="shared" si="0"/>
        <v>3</v>
      </c>
      <c r="D6" s="37">
        <f t="shared" si="0"/>
        <v>4</v>
      </c>
      <c r="E6" s="37">
        <f t="shared" si="0"/>
        <v>5</v>
      </c>
      <c r="F6" s="37">
        <f t="shared" si="0"/>
        <v>6</v>
      </c>
      <c r="G6" s="37">
        <f t="shared" ref="G6" si="1">F6+1</f>
        <v>7</v>
      </c>
      <c r="H6" s="37">
        <f t="shared" ref="H6" si="2">G6+1</f>
        <v>8</v>
      </c>
      <c r="I6" s="37">
        <f t="shared" ref="I6" si="3">H6+1</f>
        <v>9</v>
      </c>
      <c r="J6" s="37">
        <f t="shared" ref="J6" si="4">I6+1</f>
        <v>10</v>
      </c>
      <c r="K6" s="37">
        <f t="shared" ref="K6" si="5">J6+1</f>
        <v>11</v>
      </c>
      <c r="L6" s="37">
        <f t="shared" ref="L6" si="6">K6+1</f>
        <v>12</v>
      </c>
      <c r="M6" s="37">
        <f t="shared" ref="M6" si="7">L6+1</f>
        <v>13</v>
      </c>
      <c r="N6" s="37">
        <f t="shared" ref="N6" si="8">M6+1</f>
        <v>14</v>
      </c>
      <c r="O6" s="37">
        <f t="shared" ref="O6" si="9">N6+1</f>
        <v>15</v>
      </c>
    </row>
    <row r="7" spans="1:15">
      <c r="I7" t="s">
        <v>206</v>
      </c>
      <c r="J7" t="s">
        <v>207</v>
      </c>
      <c r="K7" t="s">
        <v>208</v>
      </c>
    </row>
    <row r="8" spans="1:15" s="62" customFormat="1">
      <c r="A8" s="30"/>
      <c r="B8" s="30"/>
      <c r="C8" s="30"/>
      <c r="D8" s="30"/>
      <c r="E8" s="30" t="s">
        <v>170</v>
      </c>
      <c r="F8" s="30"/>
      <c r="G8" s="30"/>
      <c r="H8" s="30"/>
      <c r="I8" s="30" t="s">
        <v>224</v>
      </c>
      <c r="J8" s="30" t="s">
        <v>224</v>
      </c>
      <c r="K8" s="30" t="s">
        <v>224</v>
      </c>
      <c r="L8" s="30" t="s">
        <v>224</v>
      </c>
      <c r="M8" s="30" t="s">
        <v>224</v>
      </c>
      <c r="N8" s="30" t="s">
        <v>224</v>
      </c>
      <c r="O8" s="30" t="s">
        <v>224</v>
      </c>
    </row>
    <row r="9" spans="1:15" s="62" customFormat="1">
      <c r="A9" s="30" t="s">
        <v>225</v>
      </c>
      <c r="B9" s="30" t="s">
        <v>0</v>
      </c>
      <c r="C9" s="30" t="s">
        <v>223</v>
      </c>
      <c r="D9" s="30" t="s">
        <v>169</v>
      </c>
      <c r="E9" s="30" t="s">
        <v>144</v>
      </c>
      <c r="F9" s="31" t="s">
        <v>145</v>
      </c>
      <c r="G9" s="30" t="s">
        <v>1</v>
      </c>
      <c r="H9" s="30" t="s">
        <v>2</v>
      </c>
      <c r="I9" s="30">
        <v>1990</v>
      </c>
      <c r="J9" s="30">
        <f>K9-1</f>
        <v>2020</v>
      </c>
      <c r="K9" s="30">
        <v>2021</v>
      </c>
      <c r="L9" s="30">
        <v>2025</v>
      </c>
      <c r="M9" s="30">
        <v>2030</v>
      </c>
      <c r="N9" s="30">
        <v>2035</v>
      </c>
      <c r="O9" s="30">
        <v>2050</v>
      </c>
    </row>
    <row r="10" spans="1:15">
      <c r="A10" s="11" t="s">
        <v>3</v>
      </c>
      <c r="B10" s="3" t="s">
        <v>13</v>
      </c>
      <c r="C10" s="1" t="s">
        <v>14</v>
      </c>
      <c r="D10" s="5" t="s">
        <v>21</v>
      </c>
      <c r="E10" s="3" t="str">
        <f>IF($B10="","",VLOOKUP($B10,mapping!$A$5:$B$15,2,0))</f>
        <v>CRF-Bio Fuels</v>
      </c>
      <c r="F10" s="12" t="s">
        <v>14</v>
      </c>
      <c r="G10" s="7" t="s">
        <v>20</v>
      </c>
      <c r="H10" s="18" t="s">
        <v>202</v>
      </c>
      <c r="I10" s="7">
        <v>0.44896460000000005</v>
      </c>
      <c r="J10" s="7">
        <v>0.15229463200000001</v>
      </c>
      <c r="K10" s="7">
        <v>0.15664603434666668</v>
      </c>
      <c r="L10" s="7">
        <v>0.16458397788330992</v>
      </c>
      <c r="M10" s="7">
        <v>0.16934551831174069</v>
      </c>
      <c r="N10" s="7">
        <v>0.15752522816840553</v>
      </c>
      <c r="O10" s="7">
        <v>0.15951996073832</v>
      </c>
    </row>
    <row r="11" spans="1:15">
      <c r="A11" s="11" t="s">
        <v>3</v>
      </c>
      <c r="B11" s="70" t="s">
        <v>250</v>
      </c>
      <c r="C11" s="1" t="s">
        <v>14</v>
      </c>
      <c r="D11" s="5" t="s">
        <v>21</v>
      </c>
      <c r="E11" s="3" t="str">
        <f>IF($B11="","",VLOOKUP($B11,mapping!$A$5:$B$15,2,0))</f>
        <v>CRF-Gaseous Fuels</v>
      </c>
      <c r="F11" s="12" t="s">
        <v>14</v>
      </c>
      <c r="G11" s="7" t="s">
        <v>20</v>
      </c>
      <c r="H11" s="18" t="s">
        <v>202</v>
      </c>
      <c r="I11" s="7">
        <v>0.12148079641600003</v>
      </c>
      <c r="J11" s="7">
        <v>0.24772050352000002</v>
      </c>
      <c r="K11" s="7">
        <v>0.25784590440000005</v>
      </c>
      <c r="L11" s="7">
        <v>0.33876992678273699</v>
      </c>
      <c r="M11" s="7">
        <v>0.43992495476115828</v>
      </c>
      <c r="N11" s="7">
        <v>0.5045838199411582</v>
      </c>
      <c r="O11" s="7">
        <v>0.85999092290115842</v>
      </c>
    </row>
    <row r="12" spans="1:15">
      <c r="A12" s="11" t="s">
        <v>3</v>
      </c>
      <c r="B12" s="3" t="s">
        <v>251</v>
      </c>
      <c r="C12" s="1" t="s">
        <v>14</v>
      </c>
      <c r="D12" s="5" t="s">
        <v>21</v>
      </c>
      <c r="E12" s="3" t="str">
        <f>IF($B12="","",VLOOKUP($B12,mapping!$A$5:$B$15,2,0))</f>
        <v>CRF-Liquid Fuels</v>
      </c>
      <c r="F12" s="12" t="s">
        <v>14</v>
      </c>
      <c r="G12" s="7" t="s">
        <v>20</v>
      </c>
      <c r="H12" s="18" t="s">
        <v>202</v>
      </c>
      <c r="I12" s="7">
        <v>0.58036160000000003</v>
      </c>
      <c r="J12" s="7">
        <v>0.15849211228480001</v>
      </c>
      <c r="K12" s="7">
        <v>0.16601563978944001</v>
      </c>
      <c r="L12" s="7">
        <v>0.16504446712837417</v>
      </c>
      <c r="M12" s="7">
        <v>0.16167555103884185</v>
      </c>
      <c r="N12" s="7">
        <v>0.16167555103884185</v>
      </c>
      <c r="O12" s="7">
        <v>0.16167555103884185</v>
      </c>
    </row>
    <row r="13" spans="1:15">
      <c r="A13" s="11" t="s">
        <v>3</v>
      </c>
      <c r="B13" s="3" t="s">
        <v>252</v>
      </c>
      <c r="C13" s="1" t="s">
        <v>14</v>
      </c>
      <c r="D13" s="5" t="s">
        <v>21</v>
      </c>
      <c r="E13" s="3" t="str">
        <f>IF($B13="","",VLOOKUP($B13,mapping!$A$5:$B$15,2,0))</f>
        <v>CRF-Solid Fuels</v>
      </c>
      <c r="F13" s="12" t="s">
        <v>14</v>
      </c>
      <c r="G13" s="7" t="s">
        <v>20</v>
      </c>
      <c r="H13" s="18" t="s">
        <v>202</v>
      </c>
      <c r="I13" s="7">
        <v>0.1484</v>
      </c>
      <c r="J13" s="7" t="s">
        <v>263</v>
      </c>
      <c r="K13" s="7" t="s">
        <v>263</v>
      </c>
      <c r="L13" s="7" t="s">
        <v>263</v>
      </c>
      <c r="M13" s="7" t="s">
        <v>263</v>
      </c>
      <c r="N13" s="7" t="s">
        <v>263</v>
      </c>
      <c r="O13" s="7" t="s">
        <v>263</v>
      </c>
    </row>
    <row r="14" spans="1:15">
      <c r="A14" s="7" t="s">
        <v>3</v>
      </c>
      <c r="B14" s="3" t="s">
        <v>250</v>
      </c>
      <c r="C14" s="1" t="s">
        <v>15</v>
      </c>
      <c r="D14" s="5" t="s">
        <v>21</v>
      </c>
      <c r="E14" s="3" t="str">
        <f>IF($B14="","",VLOOKUP($B14,mapping!$A$5:$B$15,2,0))</f>
        <v>CRF-Gaseous Fuels</v>
      </c>
      <c r="F14" s="12" t="s">
        <v>147</v>
      </c>
      <c r="G14" s="7" t="s">
        <v>20</v>
      </c>
      <c r="H14" s="18" t="s">
        <v>202</v>
      </c>
      <c r="I14" s="7">
        <v>243.39545281920002</v>
      </c>
      <c r="J14" s="7">
        <v>497.21043920800003</v>
      </c>
      <c r="K14" s="7">
        <v>514.77093057000013</v>
      </c>
      <c r="L14" s="7">
        <v>495.24604135871022</v>
      </c>
      <c r="M14" s="7">
        <v>470.83992984459798</v>
      </c>
      <c r="N14" s="7">
        <v>537.03829181459798</v>
      </c>
      <c r="O14" s="7">
        <v>900.90746865459801</v>
      </c>
    </row>
    <row r="15" spans="1:15">
      <c r="A15" s="7" t="s">
        <v>3</v>
      </c>
      <c r="B15" s="3" t="s">
        <v>251</v>
      </c>
      <c r="C15" s="1" t="s">
        <v>15</v>
      </c>
      <c r="D15" s="5" t="s">
        <v>21</v>
      </c>
      <c r="E15" s="3" t="str">
        <f>IF($B15="","",VLOOKUP($B15,mapping!$A$5:$B$15,2,0))</f>
        <v>CRF-Liquid Fuels</v>
      </c>
      <c r="F15" s="12" t="s">
        <v>147</v>
      </c>
      <c r="G15" s="7" t="s">
        <v>20</v>
      </c>
      <c r="H15" s="18" t="s">
        <v>202</v>
      </c>
      <c r="I15" s="7">
        <v>685.80618000000004</v>
      </c>
      <c r="J15" s="7">
        <v>273.32114311560002</v>
      </c>
      <c r="K15" s="7">
        <v>275.92249959392001</v>
      </c>
      <c r="L15" s="7">
        <v>285.57113929868984</v>
      </c>
      <c r="M15" s="7">
        <v>293.17601342205216</v>
      </c>
      <c r="N15" s="7">
        <v>293.17601342205216</v>
      </c>
      <c r="O15" s="7">
        <v>293.17601342205216</v>
      </c>
    </row>
    <row r="16" spans="1:15">
      <c r="A16" s="7" t="s">
        <v>3</v>
      </c>
      <c r="B16" s="3" t="s">
        <v>253</v>
      </c>
      <c r="C16" s="1" t="s">
        <v>15</v>
      </c>
      <c r="D16" s="5" t="s">
        <v>21</v>
      </c>
      <c r="E16" s="3" t="str">
        <f>IF($B16="","",VLOOKUP($B16,mapping!$A$5:$B$15,2,0))</f>
        <v>CRF-Other Fuels</v>
      </c>
      <c r="F16" s="12" t="s">
        <v>147</v>
      </c>
      <c r="G16" s="7" t="s">
        <v>20</v>
      </c>
      <c r="H16" s="18" t="s">
        <v>202</v>
      </c>
      <c r="I16" s="7">
        <v>1491.5508514484404</v>
      </c>
      <c r="J16" s="7">
        <v>2479.585444826012</v>
      </c>
      <c r="K16" s="7">
        <v>2409.2187968427229</v>
      </c>
      <c r="L16" s="7">
        <v>2464.5700605434299</v>
      </c>
      <c r="M16" s="7">
        <v>2533.7591401693139</v>
      </c>
      <c r="N16" s="7">
        <v>2594.3121372874771</v>
      </c>
      <c r="O16" s="7">
        <v>2719.3947462599012</v>
      </c>
    </row>
    <row r="17" spans="1:15">
      <c r="A17" s="7" t="s">
        <v>3</v>
      </c>
      <c r="B17" s="3" t="s">
        <v>252</v>
      </c>
      <c r="C17" s="1" t="s">
        <v>15</v>
      </c>
      <c r="D17" s="5" t="s">
        <v>21</v>
      </c>
      <c r="E17" s="3" t="str">
        <f>IF($B17="","",VLOOKUP($B17,mapping!$A$5:$B$15,2,0))</f>
        <v>CRF-Solid Fuels</v>
      </c>
      <c r="F17" s="12" t="s">
        <v>147</v>
      </c>
      <c r="G17" s="7" t="s">
        <v>20</v>
      </c>
      <c r="H17" s="18" t="s">
        <v>202</v>
      </c>
      <c r="I17" s="7">
        <v>49.131</v>
      </c>
      <c r="J17" s="7" t="s">
        <v>263</v>
      </c>
      <c r="K17" s="7" t="s">
        <v>263</v>
      </c>
      <c r="L17" s="7" t="s">
        <v>263</v>
      </c>
      <c r="M17" s="7" t="s">
        <v>263</v>
      </c>
      <c r="N17" s="7" t="s">
        <v>263</v>
      </c>
      <c r="O17" s="7" t="s">
        <v>263</v>
      </c>
    </row>
    <row r="18" spans="1:15">
      <c r="A18" s="7" t="s">
        <v>3</v>
      </c>
      <c r="B18" s="3" t="s">
        <v>13</v>
      </c>
      <c r="C18" s="1" t="s">
        <v>16</v>
      </c>
      <c r="D18" s="5" t="s">
        <v>21</v>
      </c>
      <c r="E18" s="3" t="str">
        <f>IF($B18="","",VLOOKUP($B18,mapping!$A$5:$B$15,2,0))</f>
        <v>CRF-Bio Fuels</v>
      </c>
      <c r="F18" s="12" t="s">
        <v>16</v>
      </c>
      <c r="G18" s="7" t="s">
        <v>20</v>
      </c>
      <c r="H18" s="18" t="s">
        <v>202</v>
      </c>
      <c r="I18" s="7">
        <v>20.079878178987723</v>
      </c>
      <c r="J18" s="7">
        <v>12.128133356581989</v>
      </c>
      <c r="K18" s="7">
        <v>12.8238761330594</v>
      </c>
      <c r="L18" s="7">
        <v>14.584767906154845</v>
      </c>
      <c r="M18" s="7">
        <v>16.785882629149157</v>
      </c>
      <c r="N18" s="7">
        <v>16.934333256080336</v>
      </c>
      <c r="O18" s="7">
        <v>16.871962734019373</v>
      </c>
    </row>
    <row r="19" spans="1:15">
      <c r="A19" s="7" t="s">
        <v>3</v>
      </c>
      <c r="B19" s="3" t="s">
        <v>250</v>
      </c>
      <c r="C19" s="1" t="s">
        <v>16</v>
      </c>
      <c r="D19" s="5" t="s">
        <v>21</v>
      </c>
      <c r="E19" s="3" t="str">
        <f>IF($B19="","",VLOOKUP($B19,mapping!$A$5:$B$15,2,0))</f>
        <v>CRF-Gaseous Fuels</v>
      </c>
      <c r="F19" s="12" t="s">
        <v>16</v>
      </c>
      <c r="G19" s="7" t="s">
        <v>20</v>
      </c>
      <c r="H19" s="18" t="s">
        <v>202</v>
      </c>
      <c r="I19" s="7">
        <v>0.11497289660800003</v>
      </c>
      <c r="J19" s="7">
        <v>0.23444976226000003</v>
      </c>
      <c r="K19" s="7">
        <v>0.24403273095000003</v>
      </c>
      <c r="L19" s="7">
        <v>0.23477674590350311</v>
      </c>
      <c r="M19" s="7">
        <v>0.22320676459538186</v>
      </c>
      <c r="N19" s="7">
        <v>0.2545888145453819</v>
      </c>
      <c r="O19" s="7">
        <v>0.42708493594538194</v>
      </c>
    </row>
    <row r="20" spans="1:15">
      <c r="A20" s="7" t="s">
        <v>3</v>
      </c>
      <c r="B20" s="3" t="s">
        <v>251</v>
      </c>
      <c r="C20" s="1" t="s">
        <v>16</v>
      </c>
      <c r="D20" s="5" t="s">
        <v>21</v>
      </c>
      <c r="E20" s="3" t="str">
        <f>IF($B20="","",VLOOKUP($B20,mapping!$A$5:$B$15,2,0))</f>
        <v>CRF-Liquid Fuels</v>
      </c>
      <c r="F20" s="12" t="s">
        <v>16</v>
      </c>
      <c r="G20" s="7" t="s">
        <v>20</v>
      </c>
      <c r="H20" s="18" t="s">
        <v>202</v>
      </c>
      <c r="I20" s="7">
        <v>0.98273660000000007</v>
      </c>
      <c r="J20" s="7">
        <v>0.17703146341239998</v>
      </c>
      <c r="K20" s="7">
        <v>0.19715814480072003</v>
      </c>
      <c r="L20" s="7">
        <v>0.1860011411798303</v>
      </c>
      <c r="M20" s="7">
        <v>0.17029363015461818</v>
      </c>
      <c r="N20" s="7">
        <v>0.17029363015461818</v>
      </c>
      <c r="O20" s="7">
        <v>0.17029363015461818</v>
      </c>
    </row>
    <row r="21" spans="1:15">
      <c r="A21" s="7" t="s">
        <v>3</v>
      </c>
      <c r="B21" s="3" t="s">
        <v>253</v>
      </c>
      <c r="C21" s="1" t="s">
        <v>16</v>
      </c>
      <c r="D21" s="5" t="s">
        <v>21</v>
      </c>
      <c r="E21" s="3" t="str">
        <f>IF($B21="","",VLOOKUP($B21,mapping!$A$5:$B$15,2,0))</f>
        <v>CRF-Other Fuels</v>
      </c>
      <c r="F21" s="12" t="s">
        <v>16</v>
      </c>
      <c r="G21" s="7" t="s">
        <v>20</v>
      </c>
      <c r="H21" s="18" t="s">
        <v>202</v>
      </c>
      <c r="I21" s="7">
        <v>21.633381000914643</v>
      </c>
      <c r="J21" s="7">
        <v>7.7825639325267968</v>
      </c>
      <c r="K21" s="7">
        <v>7.2620665995588238</v>
      </c>
      <c r="L21" s="7">
        <v>7.4422345020030161</v>
      </c>
      <c r="M21" s="7">
        <v>7.6674443800582557</v>
      </c>
      <c r="N21" s="7">
        <v>7.8645438814622191</v>
      </c>
      <c r="O21" s="7">
        <v>8.2716867321234702</v>
      </c>
    </row>
    <row r="22" spans="1:15">
      <c r="A22" s="7" t="s">
        <v>3</v>
      </c>
      <c r="B22" s="3" t="s">
        <v>252</v>
      </c>
      <c r="C22" s="1" t="s">
        <v>16</v>
      </c>
      <c r="D22" s="5" t="s">
        <v>21</v>
      </c>
      <c r="E22" s="3" t="str">
        <f>IF($B22="","",VLOOKUP($B22,mapping!$A$5:$B$15,2,0))</f>
        <v>CRF-Solid Fuels</v>
      </c>
      <c r="F22" s="12" t="s">
        <v>16</v>
      </c>
      <c r="G22" s="7" t="s">
        <v>20</v>
      </c>
      <c r="H22" s="18" t="s">
        <v>202</v>
      </c>
      <c r="I22" s="7">
        <v>0.210675</v>
      </c>
      <c r="J22" s="7" t="s">
        <v>263</v>
      </c>
      <c r="K22" s="7" t="s">
        <v>263</v>
      </c>
      <c r="L22" s="7" t="s">
        <v>263</v>
      </c>
      <c r="M22" s="7" t="s">
        <v>263</v>
      </c>
      <c r="N22" s="7" t="s">
        <v>263</v>
      </c>
      <c r="O22" s="7" t="s">
        <v>263</v>
      </c>
    </row>
    <row r="23" spans="1:15">
      <c r="A23" s="7" t="s">
        <v>4</v>
      </c>
      <c r="B23" s="3" t="s">
        <v>13</v>
      </c>
      <c r="C23" s="1" t="s">
        <v>14</v>
      </c>
      <c r="D23" s="13" t="s">
        <v>142</v>
      </c>
      <c r="E23" s="3" t="str">
        <f>IF($B23="","",VLOOKUP($B23,mapping!$A$5:$B$15,2,0))</f>
        <v>CRF-Bio Fuels</v>
      </c>
      <c r="F23" s="12" t="s">
        <v>14</v>
      </c>
      <c r="G23" s="7" t="s">
        <v>20</v>
      </c>
      <c r="H23" s="18" t="s">
        <v>202</v>
      </c>
      <c r="I23" s="7">
        <v>4.15713961236</v>
      </c>
      <c r="J23" s="7">
        <v>2.3005304918914278</v>
      </c>
      <c r="K23" s="7">
        <v>2.4106596327915226</v>
      </c>
      <c r="L23" s="7">
        <v>2.8850568458422461</v>
      </c>
      <c r="M23" s="7">
        <v>3.4475448077799906</v>
      </c>
      <c r="N23" s="7">
        <v>3.6205298708802616</v>
      </c>
      <c r="O23" s="7">
        <v>4.0517821002953998</v>
      </c>
    </row>
    <row r="24" spans="1:15">
      <c r="A24" s="7" t="s">
        <v>4</v>
      </c>
      <c r="B24" s="3" t="s">
        <v>250</v>
      </c>
      <c r="C24" s="1" t="s">
        <v>14</v>
      </c>
      <c r="D24" s="13" t="s">
        <v>90</v>
      </c>
      <c r="E24" s="3" t="str">
        <f>IF($B24="","",VLOOKUP($B24,mapping!$A$5:$B$15,2,0))</f>
        <v>CRF-Gaseous Fuels</v>
      </c>
      <c r="F24" s="12" t="s">
        <v>14</v>
      </c>
      <c r="G24" s="7" t="s">
        <v>20</v>
      </c>
      <c r="H24" s="18" t="s">
        <v>202</v>
      </c>
      <c r="I24" s="7">
        <v>0.53447089022600003</v>
      </c>
      <c r="J24" s="7">
        <v>1.0660743588348001</v>
      </c>
      <c r="K24" s="7">
        <v>1.10856238346392</v>
      </c>
      <c r="L24" s="7">
        <v>1.1009198420175341</v>
      </c>
      <c r="M24" s="7">
        <v>1.0714747591302571</v>
      </c>
      <c r="N24" s="7">
        <v>1.0516197017656004</v>
      </c>
      <c r="O24" s="7">
        <v>1.0049516252950119</v>
      </c>
    </row>
    <row r="25" spans="1:15">
      <c r="A25" s="7" t="s">
        <v>4</v>
      </c>
      <c r="B25" s="3" t="s">
        <v>251</v>
      </c>
      <c r="C25" s="1" t="s">
        <v>14</v>
      </c>
      <c r="D25" s="13" t="s">
        <v>90</v>
      </c>
      <c r="E25" s="3" t="str">
        <f>IF($B25="","",VLOOKUP($B25,mapping!$A$5:$B$15,2,0))</f>
        <v>CRF-Liquid Fuels</v>
      </c>
      <c r="F25" s="12" t="s">
        <v>14</v>
      </c>
      <c r="G25" s="7" t="s">
        <v>20</v>
      </c>
      <c r="H25" s="18" t="s">
        <v>202</v>
      </c>
      <c r="I25" s="7">
        <v>5.1412841898559574</v>
      </c>
      <c r="J25" s="7">
        <v>1.1059955273820425</v>
      </c>
      <c r="K25" s="7">
        <v>1.1097912126602731</v>
      </c>
      <c r="L25" s="7">
        <v>1.1597569968784693</v>
      </c>
      <c r="M25" s="7">
        <v>1.0436873705943688</v>
      </c>
      <c r="N25" s="7">
        <v>0.96529850429418496</v>
      </c>
      <c r="O25" s="7">
        <v>0.80954887053914137</v>
      </c>
    </row>
    <row r="26" spans="1:15">
      <c r="A26" s="7" t="s">
        <v>4</v>
      </c>
      <c r="B26" s="3" t="s">
        <v>253</v>
      </c>
      <c r="C26" s="1" t="s">
        <v>14</v>
      </c>
      <c r="D26" s="13" t="s">
        <v>90</v>
      </c>
      <c r="E26" s="3" t="str">
        <f>IF($B26="","",VLOOKUP($B26,mapping!$A$5:$B$15,2,0))</f>
        <v>CRF-Other Fuels</v>
      </c>
      <c r="F26" s="12" t="s">
        <v>14</v>
      </c>
      <c r="G26" s="7" t="s">
        <v>20</v>
      </c>
      <c r="H26" s="18" t="s">
        <v>202</v>
      </c>
      <c r="I26" s="7">
        <v>0.86773738800000011</v>
      </c>
      <c r="J26" s="7">
        <v>0.68493578389600018</v>
      </c>
      <c r="K26" s="7">
        <v>0.70653191025200002</v>
      </c>
      <c r="L26" s="7">
        <v>3.3996524878831078</v>
      </c>
      <c r="M26" s="7">
        <v>3.2890307038831068</v>
      </c>
      <c r="N26" s="7">
        <v>3.178644523283205</v>
      </c>
      <c r="O26" s="7">
        <v>2.816610555435473</v>
      </c>
    </row>
    <row r="27" spans="1:15">
      <c r="A27" s="7" t="s">
        <v>4</v>
      </c>
      <c r="B27" s="3" t="s">
        <v>252</v>
      </c>
      <c r="C27" s="1" t="s">
        <v>14</v>
      </c>
      <c r="D27" s="13" t="s">
        <v>90</v>
      </c>
      <c r="E27" s="3" t="str">
        <f>IF($B27="","",VLOOKUP($B27,mapping!$A$5:$B$15,2,0))</f>
        <v>CRF-Solid Fuels</v>
      </c>
      <c r="F27" s="12" t="s">
        <v>14</v>
      </c>
      <c r="G27" s="7" t="s">
        <v>20</v>
      </c>
      <c r="H27" s="18" t="s">
        <v>202</v>
      </c>
      <c r="I27" s="7">
        <v>0.34751430167999997</v>
      </c>
      <c r="J27" s="7">
        <v>0.21558323550400002</v>
      </c>
      <c r="K27" s="7">
        <v>0.197583215018</v>
      </c>
      <c r="L27" s="7">
        <v>0.23590809594325773</v>
      </c>
      <c r="M27" s="7">
        <v>0.22299008642020271</v>
      </c>
      <c r="N27" s="7">
        <v>0.21221773757676862</v>
      </c>
      <c r="O27" s="7">
        <v>0.1865009849633866</v>
      </c>
    </row>
    <row r="28" spans="1:15">
      <c r="A28" s="7" t="s">
        <v>4</v>
      </c>
      <c r="B28" s="3" t="s">
        <v>250</v>
      </c>
      <c r="C28" s="1" t="s">
        <v>15</v>
      </c>
      <c r="D28" s="13" t="s">
        <v>142</v>
      </c>
      <c r="E28" s="3" t="str">
        <f>IF($B28="","",VLOOKUP($B28,mapping!$A$5:$B$15,2,0))</f>
        <v>CRF-Gaseous Fuels</v>
      </c>
      <c r="F28" s="12" t="s">
        <v>147</v>
      </c>
      <c r="G28" s="7" t="s">
        <v>20</v>
      </c>
      <c r="H28" s="18" t="s">
        <v>202</v>
      </c>
      <c r="I28" s="7">
        <v>1091.14499997195</v>
      </c>
      <c r="J28" s="7">
        <v>2141.2199999831405</v>
      </c>
      <c r="K28" s="7">
        <v>2214.7580000704343</v>
      </c>
      <c r="L28" s="7">
        <v>2199.3427700399998</v>
      </c>
      <c r="M28" s="7">
        <v>2140.5484469200001</v>
      </c>
      <c r="N28" s="7">
        <v>2100.9091587899998</v>
      </c>
      <c r="O28" s="7">
        <v>2007.7191687800005</v>
      </c>
    </row>
    <row r="29" spans="1:15">
      <c r="A29" s="7" t="s">
        <v>4</v>
      </c>
      <c r="B29" s="3" t="s">
        <v>251</v>
      </c>
      <c r="C29" s="1" t="s">
        <v>15</v>
      </c>
      <c r="D29" s="13" t="s">
        <v>90</v>
      </c>
      <c r="E29" s="3" t="str">
        <f>IF($B29="","",VLOOKUP($B29,mapping!$A$5:$B$15,2,0))</f>
        <v>CRF-Liquid Fuels</v>
      </c>
      <c r="F29" s="12" t="s">
        <v>147</v>
      </c>
      <c r="G29" s="7" t="s">
        <v>20</v>
      </c>
      <c r="H29" s="18" t="s">
        <v>202</v>
      </c>
      <c r="I29" s="7">
        <v>3974.3227429292333</v>
      </c>
      <c r="J29" s="7">
        <v>1537.7221646536434</v>
      </c>
      <c r="K29" s="7">
        <v>1551.8893592561349</v>
      </c>
      <c r="L29" s="7">
        <v>1575.9366571155017</v>
      </c>
      <c r="M29" s="7">
        <v>1468.7772017186146</v>
      </c>
      <c r="N29" s="7">
        <v>1395.9786390114095</v>
      </c>
      <c r="O29" s="7">
        <v>1248.6362137449662</v>
      </c>
    </row>
    <row r="30" spans="1:15" s="38" customFormat="1">
      <c r="A30" s="63" t="s">
        <v>4</v>
      </c>
      <c r="B30" s="66" t="s">
        <v>253</v>
      </c>
      <c r="C30" s="64" t="s">
        <v>15</v>
      </c>
      <c r="D30" s="65" t="s">
        <v>90</v>
      </c>
      <c r="E30" s="66" t="str">
        <f>IF($B30="","",VLOOKUP($B30,mapping!$A$5:$B$15,2,0))</f>
        <v>CRF-Other Fuels</v>
      </c>
      <c r="F30" s="67" t="s">
        <v>147</v>
      </c>
      <c r="G30" s="63" t="s">
        <v>20</v>
      </c>
      <c r="H30" s="67" t="s">
        <v>202</v>
      </c>
      <c r="I30" s="63">
        <v>192.37448106880001</v>
      </c>
      <c r="J30" s="63">
        <v>443.71211983680968</v>
      </c>
      <c r="K30" s="63">
        <v>445.45653747879999</v>
      </c>
      <c r="L30" s="63">
        <v>643.61388129624049</v>
      </c>
      <c r="M30" s="63">
        <v>629.9156663883482</v>
      </c>
      <c r="N30" s="63">
        <v>617.48076614942681</v>
      </c>
      <c r="O30" s="63">
        <v>576.67050097844276</v>
      </c>
    </row>
    <row r="31" spans="1:15">
      <c r="A31" s="7" t="s">
        <v>4</v>
      </c>
      <c r="B31" s="3" t="s">
        <v>252</v>
      </c>
      <c r="C31" s="1" t="s">
        <v>15</v>
      </c>
      <c r="D31" s="13" t="s">
        <v>90</v>
      </c>
      <c r="E31" s="3" t="str">
        <f>IF($B31="","",VLOOKUP($B31,mapping!$A$5:$B$15,2,0))</f>
        <v>CRF-Solid Fuels</v>
      </c>
      <c r="F31" s="12" t="s">
        <v>147</v>
      </c>
      <c r="G31" s="7" t="s">
        <v>20</v>
      </c>
      <c r="H31" s="18" t="s">
        <v>202</v>
      </c>
      <c r="I31" s="7">
        <v>1274.7035995020003</v>
      </c>
      <c r="J31" s="7">
        <v>338.54534365900003</v>
      </c>
      <c r="K31" s="7">
        <v>341.76465876538504</v>
      </c>
      <c r="L31" s="7">
        <v>410.85288773980784</v>
      </c>
      <c r="M31" s="7">
        <v>387.81859044151491</v>
      </c>
      <c r="N31" s="7">
        <v>368.61025301013848</v>
      </c>
      <c r="O31" s="7">
        <v>322.75432418564804</v>
      </c>
    </row>
    <row r="32" spans="1:15">
      <c r="A32" s="7" t="s">
        <v>4</v>
      </c>
      <c r="B32" s="3" t="s">
        <v>13</v>
      </c>
      <c r="C32" s="1" t="s">
        <v>16</v>
      </c>
      <c r="D32" s="13" t="s">
        <v>90</v>
      </c>
      <c r="E32" s="3" t="str">
        <f>IF($B32="","",VLOOKUP($B32,mapping!$A$5:$B$15,2,0))</f>
        <v>CRF-Bio Fuels</v>
      </c>
      <c r="F32" s="12" t="s">
        <v>16</v>
      </c>
      <c r="G32" s="7" t="s">
        <v>20</v>
      </c>
      <c r="H32" s="18" t="s">
        <v>202</v>
      </c>
      <c r="I32" s="7">
        <v>4.71436344398</v>
      </c>
      <c r="J32" s="7">
        <v>15.231633693140479</v>
      </c>
      <c r="K32" s="7">
        <v>17.71769223702519</v>
      </c>
      <c r="L32" s="7">
        <v>17.547157625193833</v>
      </c>
      <c r="M32" s="7">
        <v>17.541797301459603</v>
      </c>
      <c r="N32" s="7">
        <v>17.678688826740796</v>
      </c>
      <c r="O32" s="7">
        <v>17.754295653088793</v>
      </c>
    </row>
    <row r="33" spans="1:15">
      <c r="A33" s="7" t="s">
        <v>4</v>
      </c>
      <c r="B33" s="3" t="s">
        <v>250</v>
      </c>
      <c r="C33" s="1" t="s">
        <v>16</v>
      </c>
      <c r="D33" s="13" t="s">
        <v>90</v>
      </c>
      <c r="E33" s="3" t="str">
        <f>IF($B33="","",VLOOKUP($B33,mapping!$A$5:$B$15,2,0))</f>
        <v>CRF-Gaseous Fuels</v>
      </c>
      <c r="F33" s="12" t="s">
        <v>16</v>
      </c>
      <c r="G33" s="7" t="s">
        <v>20</v>
      </c>
      <c r="H33" s="18" t="s">
        <v>202</v>
      </c>
      <c r="I33" s="7">
        <v>0.51542499998675007</v>
      </c>
      <c r="J33" s="7">
        <v>1.0096499999920501</v>
      </c>
      <c r="K33" s="7">
        <v>1.0499300000333902</v>
      </c>
      <c r="L33" s="7">
        <v>1.0426222433999999</v>
      </c>
      <c r="M33" s="7">
        <v>1.0147501582</v>
      </c>
      <c r="N33" s="7">
        <v>0.99595872465000002</v>
      </c>
      <c r="O33" s="7">
        <v>0.95178100130000032</v>
      </c>
    </row>
    <row r="34" spans="1:15">
      <c r="A34" s="7" t="s">
        <v>4</v>
      </c>
      <c r="B34" s="3" t="s">
        <v>251</v>
      </c>
      <c r="C34" s="1" t="s">
        <v>16</v>
      </c>
      <c r="D34" s="13" t="s">
        <v>90</v>
      </c>
      <c r="E34" s="3" t="str">
        <f>IF($B34="","",VLOOKUP($B34,mapping!$A$5:$B$15,2,0))</f>
        <v>CRF-Liquid Fuels</v>
      </c>
      <c r="F34" s="12" t="s">
        <v>16</v>
      </c>
      <c r="G34" s="7" t="s">
        <v>20</v>
      </c>
      <c r="H34" s="18" t="s">
        <v>202</v>
      </c>
      <c r="I34" s="7">
        <v>11.871446063112169</v>
      </c>
      <c r="J34" s="7">
        <v>9.0283174596502977</v>
      </c>
      <c r="K34" s="7">
        <v>9.0428881150469245</v>
      </c>
      <c r="L34" s="7">
        <v>9.2617180283452836</v>
      </c>
      <c r="M34" s="7">
        <v>9.0486205754563294</v>
      </c>
      <c r="N34" s="7">
        <v>8.9640691684122942</v>
      </c>
      <c r="O34" s="7">
        <v>8.7888493671417578</v>
      </c>
    </row>
    <row r="35" spans="1:15">
      <c r="A35" s="7" t="s">
        <v>4</v>
      </c>
      <c r="B35" s="3" t="s">
        <v>253</v>
      </c>
      <c r="C35" s="1" t="s">
        <v>16</v>
      </c>
      <c r="D35" s="13" t="s">
        <v>90</v>
      </c>
      <c r="E35" s="3" t="str">
        <f>IF($B35="","",VLOOKUP($B35,mapping!$A$5:$B$15,2,0))</f>
        <v>CRF-Other Fuels</v>
      </c>
      <c r="F35" s="12" t="s">
        <v>16</v>
      </c>
      <c r="G35" s="7" t="s">
        <v>20</v>
      </c>
      <c r="H35" s="18" t="s">
        <v>202</v>
      </c>
      <c r="I35" s="7">
        <v>1.9739319067200001</v>
      </c>
      <c r="J35" s="7">
        <v>5.2915372736709596</v>
      </c>
      <c r="K35" s="7">
        <v>5.2670047709770005</v>
      </c>
      <c r="L35" s="7">
        <v>8.2640792417818343</v>
      </c>
      <c r="M35" s="7">
        <v>8.0659485507690505</v>
      </c>
      <c r="N35" s="7">
        <v>7.8865599033703688</v>
      </c>
      <c r="O35" s="7">
        <v>7.2968408624670023</v>
      </c>
    </row>
    <row r="36" spans="1:15">
      <c r="A36" s="7" t="s">
        <v>4</v>
      </c>
      <c r="B36" s="3" t="s">
        <v>252</v>
      </c>
      <c r="C36" s="1" t="s">
        <v>16</v>
      </c>
      <c r="D36" s="13" t="s">
        <v>90</v>
      </c>
      <c r="E36" s="3" t="str">
        <f>IF($B36="","",VLOOKUP($B36,mapping!$A$5:$B$15,2,0))</f>
        <v>CRF-Solid Fuels</v>
      </c>
      <c r="F36" s="12" t="s">
        <v>16</v>
      </c>
      <c r="G36" s="7" t="s">
        <v>20</v>
      </c>
      <c r="H36" s="18" t="s">
        <v>202</v>
      </c>
      <c r="I36" s="7">
        <v>5.4620961953400018</v>
      </c>
      <c r="J36" s="7">
        <v>1.4165508630750003</v>
      </c>
      <c r="K36" s="7">
        <v>1.4298925938386255</v>
      </c>
      <c r="L36" s="7">
        <v>1.7188785232500003</v>
      </c>
      <c r="M36" s="7">
        <v>1.6225234499999994</v>
      </c>
      <c r="N36" s="7">
        <v>1.5421727999999997</v>
      </c>
      <c r="O36" s="7">
        <v>1.3503522585000007</v>
      </c>
    </row>
    <row r="37" spans="1:15">
      <c r="A37" s="7" t="s">
        <v>5</v>
      </c>
      <c r="B37" s="70" t="s">
        <v>255</v>
      </c>
      <c r="C37" s="1" t="s">
        <v>14</v>
      </c>
      <c r="D37" s="13" t="s">
        <v>91</v>
      </c>
      <c r="E37" s="3" t="str">
        <f>IF($B37="","",VLOOKUP($B37,mapping!$A$5:$B$15,2,0))</f>
        <v>Kerosin fossil</v>
      </c>
      <c r="F37" s="12" t="s">
        <v>14</v>
      </c>
      <c r="G37" s="7" t="s">
        <v>20</v>
      </c>
      <c r="H37" s="18" t="s">
        <v>202</v>
      </c>
      <c r="I37" s="7">
        <v>0.19133334823816367</v>
      </c>
      <c r="J37" s="7">
        <v>8.9210795288766825E-2</v>
      </c>
      <c r="K37" s="7">
        <v>9.9710763554533274E-2</v>
      </c>
      <c r="L37" s="7">
        <v>0.28914210586207623</v>
      </c>
      <c r="M37" s="7">
        <v>0.31760837382397222</v>
      </c>
      <c r="N37" s="7">
        <v>0.32179144577472091</v>
      </c>
      <c r="O37" s="7">
        <v>0.30531190321626833</v>
      </c>
    </row>
    <row r="38" spans="1:15">
      <c r="A38" s="7" t="s">
        <v>5</v>
      </c>
      <c r="B38" s="70" t="s">
        <v>255</v>
      </c>
      <c r="C38" s="1" t="s">
        <v>15</v>
      </c>
      <c r="D38" s="13" t="s">
        <v>91</v>
      </c>
      <c r="E38" s="3" t="str">
        <f>IF($B38="","",VLOOKUP($B38,mapping!$A$5:$B$15,2,0))</f>
        <v>Kerosin fossil</v>
      </c>
      <c r="F38" s="12" t="s">
        <v>147</v>
      </c>
      <c r="G38" s="7" t="s">
        <v>20</v>
      </c>
      <c r="H38" s="18" t="s">
        <v>202</v>
      </c>
      <c r="I38" s="7">
        <v>252.55489313292</v>
      </c>
      <c r="J38" s="7">
        <v>76.890996000000001</v>
      </c>
      <c r="K38" s="7">
        <v>59.009641600000002</v>
      </c>
      <c r="L38" s="7">
        <v>171.08133711759993</v>
      </c>
      <c r="M38" s="7">
        <v>187.87596223760036</v>
      </c>
      <c r="N38" s="7">
        <v>190.30130879760003</v>
      </c>
      <c r="O38" s="7">
        <v>180.4160661576004</v>
      </c>
    </row>
    <row r="39" spans="1:15">
      <c r="A39" s="7" t="s">
        <v>5</v>
      </c>
      <c r="B39" s="70" t="s">
        <v>255</v>
      </c>
      <c r="C39" s="1" t="s">
        <v>16</v>
      </c>
      <c r="D39" s="13" t="s">
        <v>91</v>
      </c>
      <c r="E39" s="3" t="str">
        <f>IF($B39="","",VLOOKUP($B39,mapping!$A$5:$B$15,2,0))</f>
        <v>Kerosin fossil</v>
      </c>
      <c r="F39" s="12" t="s">
        <v>16</v>
      </c>
      <c r="G39" s="7" t="s">
        <v>20</v>
      </c>
      <c r="H39" s="18" t="s">
        <v>202</v>
      </c>
      <c r="I39" s="7">
        <v>1.828607832793</v>
      </c>
      <c r="J39" s="7">
        <v>0.55978335000000001</v>
      </c>
      <c r="K39" s="7">
        <v>0.42960315999999998</v>
      </c>
      <c r="L39" s="7">
        <v>1.2455097345099997</v>
      </c>
      <c r="M39" s="7">
        <v>1.3677782965100027</v>
      </c>
      <c r="N39" s="7">
        <v>1.3854353525100001</v>
      </c>
      <c r="O39" s="7">
        <v>1.3134686135100027</v>
      </c>
    </row>
    <row r="40" spans="1:15">
      <c r="A40" s="7" t="s">
        <v>6</v>
      </c>
      <c r="B40" s="3" t="s">
        <v>13</v>
      </c>
      <c r="C40" s="1" t="s">
        <v>14</v>
      </c>
      <c r="D40" s="13" t="s">
        <v>92</v>
      </c>
      <c r="E40" s="3" t="str">
        <f>IF($B40="","",VLOOKUP($B40,mapping!$A$5:$B$15,2,0))</f>
        <v>CRF-Bio Fuels</v>
      </c>
      <c r="F40" s="12" t="s">
        <v>14</v>
      </c>
      <c r="G40" s="7" t="s">
        <v>20</v>
      </c>
      <c r="H40" s="18" t="s">
        <v>202</v>
      </c>
      <c r="I40" s="7" t="s">
        <v>263</v>
      </c>
      <c r="J40" s="7">
        <v>0.66080230691368935</v>
      </c>
      <c r="K40" s="7">
        <v>0.63629581927510248</v>
      </c>
      <c r="L40" s="7">
        <v>0.3656406159782839</v>
      </c>
      <c r="M40" s="7">
        <v>0.42549081378002973</v>
      </c>
      <c r="N40" s="7">
        <v>0.48884532828784372</v>
      </c>
      <c r="O40" s="7">
        <v>0.48303980281880948</v>
      </c>
    </row>
    <row r="41" spans="1:15">
      <c r="A41" s="7" t="s">
        <v>6</v>
      </c>
      <c r="B41" s="4" t="s">
        <v>17</v>
      </c>
      <c r="C41" s="2" t="s">
        <v>14</v>
      </c>
      <c r="D41" s="13" t="s">
        <v>92</v>
      </c>
      <c r="E41" s="3" t="str">
        <f>IF($B41="","",VLOOKUP($B41,mapping!$A$5:$B$15,2,0))</f>
        <v>Diesel</v>
      </c>
      <c r="F41" s="12" t="s">
        <v>14</v>
      </c>
      <c r="G41" s="7" t="s">
        <v>20</v>
      </c>
      <c r="H41" s="18" t="s">
        <v>202</v>
      </c>
      <c r="I41" s="7">
        <v>2.5568325661561038</v>
      </c>
      <c r="J41" s="7">
        <v>6.1884587932334165</v>
      </c>
      <c r="K41" s="7">
        <v>6.6599107110967868</v>
      </c>
      <c r="L41" s="7">
        <v>8.6474124678264186</v>
      </c>
      <c r="M41" s="7">
        <v>9.0621493539640561</v>
      </c>
      <c r="N41" s="7">
        <v>8.7344360409338258</v>
      </c>
      <c r="O41" s="7">
        <v>6.3687324566788543</v>
      </c>
    </row>
    <row r="42" spans="1:15">
      <c r="A42" s="7" t="s">
        <v>6</v>
      </c>
      <c r="B42" s="4" t="s">
        <v>250</v>
      </c>
      <c r="C42" s="2" t="s">
        <v>14</v>
      </c>
      <c r="D42" s="13" t="s">
        <v>92</v>
      </c>
      <c r="E42" s="3" t="str">
        <f>IF($B42="","",VLOOKUP($B42,mapping!$A$5:$B$15,2,0))</f>
        <v>CRF-Gaseous Fuels</v>
      </c>
      <c r="F42" s="12" t="s">
        <v>14</v>
      </c>
      <c r="G42" s="7" t="s">
        <v>20</v>
      </c>
      <c r="H42" s="18" t="s">
        <v>202</v>
      </c>
      <c r="I42" s="7" t="s">
        <v>263</v>
      </c>
      <c r="J42" s="7">
        <v>0.29241215595156</v>
      </c>
      <c r="K42" s="7">
        <v>0.28212360110629969</v>
      </c>
      <c r="L42" s="7">
        <v>0.30944386138289792</v>
      </c>
      <c r="M42" s="7">
        <v>0.5870273638669774</v>
      </c>
      <c r="N42" s="7">
        <v>0.91041880603881065</v>
      </c>
      <c r="O42" s="7">
        <v>1.1832873149020851</v>
      </c>
    </row>
    <row r="43" spans="1:15">
      <c r="A43" s="7" t="s">
        <v>6</v>
      </c>
      <c r="B43" s="4" t="s">
        <v>18</v>
      </c>
      <c r="C43" s="2" t="s">
        <v>14</v>
      </c>
      <c r="D43" s="13" t="s">
        <v>92</v>
      </c>
      <c r="E43" s="3" t="str">
        <f>IF($B43="","",VLOOKUP($B43,mapping!$A$5:$B$15,2,0))</f>
        <v>Benzin</v>
      </c>
      <c r="F43" s="12" t="s">
        <v>14</v>
      </c>
      <c r="G43" s="7" t="s">
        <v>20</v>
      </c>
      <c r="H43" s="18" t="s">
        <v>202</v>
      </c>
      <c r="I43" s="7">
        <v>128.90975227045436</v>
      </c>
      <c r="J43" s="7">
        <v>13.911920695143941</v>
      </c>
      <c r="K43" s="7">
        <v>14.280370558005419</v>
      </c>
      <c r="L43" s="7">
        <v>10.828513458371841</v>
      </c>
      <c r="M43" s="7">
        <v>8.469494429266458</v>
      </c>
      <c r="N43" s="7">
        <v>7.0508385758637333</v>
      </c>
      <c r="O43" s="7">
        <v>4.6989044046412767</v>
      </c>
    </row>
    <row r="44" spans="1:15">
      <c r="A44" s="7" t="s">
        <v>6</v>
      </c>
      <c r="B44" s="4" t="s">
        <v>254</v>
      </c>
      <c r="C44" s="2" t="s">
        <v>14</v>
      </c>
      <c r="D44" s="13" t="s">
        <v>92</v>
      </c>
      <c r="E44" s="3" t="str">
        <f>IF($B44="","",VLOOKUP($B44,mapping!$A$5:$B$15,2,0))</f>
        <v>LPG</v>
      </c>
      <c r="F44" s="12" t="s">
        <v>14</v>
      </c>
      <c r="G44" s="7" t="s">
        <v>20</v>
      </c>
      <c r="H44" s="18" t="s">
        <v>202</v>
      </c>
      <c r="I44" s="7" t="s">
        <v>263</v>
      </c>
      <c r="J44" s="7">
        <v>6.6420514575859081E-4</v>
      </c>
      <c r="K44" s="7">
        <v>6.7584783053948152E-4</v>
      </c>
      <c r="L44" s="7" t="s">
        <v>263</v>
      </c>
      <c r="M44" s="7" t="s">
        <v>263</v>
      </c>
      <c r="N44" s="7" t="s">
        <v>263</v>
      </c>
      <c r="O44" s="7" t="s">
        <v>263</v>
      </c>
    </row>
    <row r="45" spans="1:15">
      <c r="A45" s="7" t="s">
        <v>6</v>
      </c>
      <c r="B45" s="4" t="s">
        <v>17</v>
      </c>
      <c r="C45" s="2" t="s">
        <v>15</v>
      </c>
      <c r="D45" s="13" t="s">
        <v>92</v>
      </c>
      <c r="E45" s="3" t="str">
        <f>IF($B45="","",VLOOKUP($B45,mapping!$A$5:$B$15,2,0))</f>
        <v>Diesel</v>
      </c>
      <c r="F45" s="12" t="s">
        <v>147</v>
      </c>
      <c r="G45" s="7" t="s">
        <v>20</v>
      </c>
      <c r="H45" s="18" t="s">
        <v>202</v>
      </c>
      <c r="I45" s="7">
        <v>2631.9412507712004</v>
      </c>
      <c r="J45" s="7">
        <v>6946.3561412468007</v>
      </c>
      <c r="K45" s="7">
        <v>7035.4268329106999</v>
      </c>
      <c r="L45" s="7">
        <v>8144.905879925981</v>
      </c>
      <c r="M45" s="7">
        <v>7443.9609505868912</v>
      </c>
      <c r="N45" s="7">
        <v>6622.4926320118602</v>
      </c>
      <c r="O45" s="7">
        <v>4368.5188798710615</v>
      </c>
    </row>
    <row r="46" spans="1:15">
      <c r="A46" s="7" t="s">
        <v>6</v>
      </c>
      <c r="B46" s="4" t="s">
        <v>250</v>
      </c>
      <c r="C46" s="2" t="s">
        <v>15</v>
      </c>
      <c r="D46" s="13" t="s">
        <v>92</v>
      </c>
      <c r="E46" s="3" t="str">
        <f>IF($B46="","",VLOOKUP($B46,mapping!$A$5:$B$15,2,0))</f>
        <v>CRF-Gaseous Fuels</v>
      </c>
      <c r="F46" s="12" t="s">
        <v>147</v>
      </c>
      <c r="G46" s="7" t="s">
        <v>20</v>
      </c>
      <c r="H46" s="18" t="s">
        <v>202</v>
      </c>
      <c r="I46" s="7" t="s">
        <v>263</v>
      </c>
      <c r="J46" s="7">
        <v>29.224</v>
      </c>
      <c r="K46" s="7">
        <v>30.186000000000003</v>
      </c>
      <c r="L46" s="7">
        <v>41.205951206849001</v>
      </c>
      <c r="M46" s="7">
        <v>61.928852266852992</v>
      </c>
      <c r="N46" s="7">
        <v>79.813200683203007</v>
      </c>
      <c r="O46" s="7">
        <v>81.279431934041909</v>
      </c>
    </row>
    <row r="47" spans="1:15">
      <c r="A47" s="7" t="s">
        <v>6</v>
      </c>
      <c r="B47" s="4" t="s">
        <v>18</v>
      </c>
      <c r="C47" s="2" t="s">
        <v>15</v>
      </c>
      <c r="D47" s="13" t="s">
        <v>92</v>
      </c>
      <c r="E47" s="3" t="str">
        <f>IF($B47="","",VLOOKUP($B47,mapping!$A$5:$B$15,2,0))</f>
        <v>Benzin</v>
      </c>
      <c r="F47" s="12" t="s">
        <v>147</v>
      </c>
      <c r="G47" s="7" t="s">
        <v>20</v>
      </c>
      <c r="H47" s="18" t="s">
        <v>202</v>
      </c>
      <c r="I47" s="7">
        <v>11343.256119651001</v>
      </c>
      <c r="J47" s="7">
        <v>6207.219884966401</v>
      </c>
      <c r="K47" s="7">
        <v>6345.9171757656004</v>
      </c>
      <c r="L47" s="7">
        <v>5433.7376998560076</v>
      </c>
      <c r="M47" s="7">
        <v>4719.6170941409309</v>
      </c>
      <c r="N47" s="7">
        <v>3957.7765078914636</v>
      </c>
      <c r="O47" s="7">
        <v>2292.1705880537565</v>
      </c>
    </row>
    <row r="48" spans="1:15">
      <c r="A48" s="7" t="s">
        <v>6</v>
      </c>
      <c r="B48" s="4" t="s">
        <v>254</v>
      </c>
      <c r="C48" s="2" t="s">
        <v>15</v>
      </c>
      <c r="D48" s="13" t="s">
        <v>92</v>
      </c>
      <c r="E48" s="3" t="str">
        <f>IF($B48="","",VLOOKUP($B48,mapping!$A$5:$B$15,2,0))</f>
        <v>LPG</v>
      </c>
      <c r="F48" s="12" t="s">
        <v>147</v>
      </c>
      <c r="G48" s="7" t="s">
        <v>20</v>
      </c>
      <c r="H48" s="18" t="s">
        <v>202</v>
      </c>
      <c r="I48" s="7" t="s">
        <v>263</v>
      </c>
      <c r="J48" s="7">
        <v>1.34554554</v>
      </c>
      <c r="K48" s="7">
        <v>1.384151895</v>
      </c>
      <c r="L48" s="7" t="s">
        <v>263</v>
      </c>
      <c r="M48" s="7" t="s">
        <v>263</v>
      </c>
      <c r="N48" s="7" t="s">
        <v>263</v>
      </c>
      <c r="O48" s="7" t="s">
        <v>263</v>
      </c>
    </row>
    <row r="49" spans="1:15">
      <c r="A49" s="7" t="s">
        <v>6</v>
      </c>
      <c r="B49" s="4" t="s">
        <v>13</v>
      </c>
      <c r="C49" s="2" t="s">
        <v>16</v>
      </c>
      <c r="D49" s="13" t="s">
        <v>92</v>
      </c>
      <c r="E49" s="3" t="str">
        <f>IF($B49="","",VLOOKUP($B49,mapping!$A$5:$B$15,2,0))</f>
        <v>CRF-Bio Fuels</v>
      </c>
      <c r="F49" s="12" t="s">
        <v>16</v>
      </c>
      <c r="G49" s="7" t="s">
        <v>20</v>
      </c>
      <c r="H49" s="18" t="s">
        <v>202</v>
      </c>
      <c r="I49" s="7" t="s">
        <v>263</v>
      </c>
      <c r="J49" s="7">
        <v>6.2527050547672642</v>
      </c>
      <c r="K49" s="7">
        <v>5.1281459106444798</v>
      </c>
      <c r="L49" s="7">
        <v>2.5942451897994623</v>
      </c>
      <c r="M49" s="7">
        <v>2.7171050420460721</v>
      </c>
      <c r="N49" s="7">
        <v>2.6739175109292637</v>
      </c>
      <c r="O49" s="7">
        <v>2.0174675966190021</v>
      </c>
    </row>
    <row r="50" spans="1:15">
      <c r="A50" s="7" t="s">
        <v>6</v>
      </c>
      <c r="B50" s="4" t="s">
        <v>17</v>
      </c>
      <c r="C50" s="2" t="s">
        <v>16</v>
      </c>
      <c r="D50" s="13" t="s">
        <v>92</v>
      </c>
      <c r="E50" s="3" t="str">
        <f>IF($B50="","",VLOOKUP($B50,mapping!$A$5:$B$15,2,0))</f>
        <v>Diesel</v>
      </c>
      <c r="F50" s="12" t="s">
        <v>16</v>
      </c>
      <c r="G50" s="7" t="s">
        <v>20</v>
      </c>
      <c r="H50" s="18" t="s">
        <v>202</v>
      </c>
      <c r="I50" s="7">
        <v>5.4207213846749767</v>
      </c>
      <c r="J50" s="7">
        <v>87.617784643121155</v>
      </c>
      <c r="K50" s="7">
        <v>90.640037181419075</v>
      </c>
      <c r="L50" s="7">
        <v>113.86388669247263</v>
      </c>
      <c r="M50" s="7">
        <v>118.02714666160786</v>
      </c>
      <c r="N50" s="7">
        <v>117.70935146717956</v>
      </c>
      <c r="O50" s="7">
        <v>93.629023727827402</v>
      </c>
    </row>
    <row r="51" spans="1:15">
      <c r="A51" s="7" t="s">
        <v>6</v>
      </c>
      <c r="B51" s="4" t="s">
        <v>250</v>
      </c>
      <c r="C51" s="2" t="s">
        <v>16</v>
      </c>
      <c r="D51" s="13" t="s">
        <v>92</v>
      </c>
      <c r="E51" s="3" t="str">
        <f>IF($B51="","",VLOOKUP($B51,mapping!$A$5:$B$15,2,0))</f>
        <v>CRF-Gaseous Fuels</v>
      </c>
      <c r="F51" s="12" t="s">
        <v>16</v>
      </c>
      <c r="G51" s="7" t="s">
        <v>20</v>
      </c>
      <c r="H51" s="18" t="s">
        <v>202</v>
      </c>
      <c r="I51" s="7" t="s">
        <v>263</v>
      </c>
      <c r="J51" s="7">
        <v>0.5529333360414902</v>
      </c>
      <c r="K51" s="7">
        <v>0.50004947603960792</v>
      </c>
      <c r="L51" s="7">
        <v>0.51690114340051196</v>
      </c>
      <c r="M51" s="7">
        <v>0.49410442021041201</v>
      </c>
      <c r="N51" s="7">
        <v>0.38895928470234736</v>
      </c>
      <c r="O51" s="7">
        <v>8.416252079251621E-2</v>
      </c>
    </row>
    <row r="52" spans="1:15">
      <c r="A52" s="7" t="s">
        <v>6</v>
      </c>
      <c r="B52" s="4" t="s">
        <v>18</v>
      </c>
      <c r="C52" s="2" t="s">
        <v>16</v>
      </c>
      <c r="D52" s="13" t="s">
        <v>92</v>
      </c>
      <c r="E52" s="3" t="str">
        <f>IF($B52="","",VLOOKUP($B52,mapping!$A$5:$B$15,2,0))</f>
        <v>Benzin</v>
      </c>
      <c r="F52" s="12" t="s">
        <v>16</v>
      </c>
      <c r="G52" s="7" t="s">
        <v>20</v>
      </c>
      <c r="H52" s="18" t="s">
        <v>202</v>
      </c>
      <c r="I52" s="7">
        <v>143.24286452967914</v>
      </c>
      <c r="J52" s="7">
        <v>15.564912563136559</v>
      </c>
      <c r="K52" s="7">
        <v>15.404741222168299</v>
      </c>
      <c r="L52" s="7">
        <v>13.547048996005099</v>
      </c>
      <c r="M52" s="7">
        <v>12.365778724080748</v>
      </c>
      <c r="N52" s="7">
        <v>11.377652524550319</v>
      </c>
      <c r="O52" s="7">
        <v>8.2051355732215168</v>
      </c>
    </row>
    <row r="53" spans="1:15">
      <c r="A53" s="7" t="s">
        <v>6</v>
      </c>
      <c r="B53" s="4" t="s">
        <v>254</v>
      </c>
      <c r="C53" s="2" t="s">
        <v>16</v>
      </c>
      <c r="D53" s="13" t="s">
        <v>92</v>
      </c>
      <c r="E53" s="3" t="str">
        <f>IF($B53="","",VLOOKUP($B53,mapping!$A$5:$B$15,2,0))</f>
        <v>LPG</v>
      </c>
      <c r="F53" s="12" t="s">
        <v>16</v>
      </c>
      <c r="G53" s="7" t="s">
        <v>20</v>
      </c>
      <c r="H53" s="18" t="s">
        <v>202</v>
      </c>
      <c r="I53" s="7" t="s">
        <v>263</v>
      </c>
      <c r="J53" s="7">
        <v>6.9205974580974746E-3</v>
      </c>
      <c r="K53" s="7">
        <v>6.9622664875266613E-3</v>
      </c>
      <c r="L53" s="7" t="s">
        <v>263</v>
      </c>
      <c r="M53" s="7" t="s">
        <v>263</v>
      </c>
      <c r="N53" s="7" t="s">
        <v>263</v>
      </c>
      <c r="O53" s="7" t="s">
        <v>263</v>
      </c>
    </row>
    <row r="54" spans="1:15">
      <c r="A54" s="7" t="s">
        <v>7</v>
      </c>
      <c r="B54" s="4" t="s">
        <v>13</v>
      </c>
      <c r="C54" s="2" t="s">
        <v>14</v>
      </c>
      <c r="D54" s="13" t="s">
        <v>93</v>
      </c>
      <c r="E54" s="3" t="str">
        <f>IF($B54="","",VLOOKUP($B54,mapping!$A$5:$B$15,2,0))</f>
        <v>CRF-Bio Fuels</v>
      </c>
      <c r="F54" s="12" t="s">
        <v>14</v>
      </c>
      <c r="G54" s="7" t="s">
        <v>20</v>
      </c>
      <c r="H54" s="18" t="s">
        <v>202</v>
      </c>
      <c r="I54" s="7" t="s">
        <v>263</v>
      </c>
      <c r="J54" s="7">
        <v>4.7343604465155978E-4</v>
      </c>
      <c r="K54" s="7">
        <v>4.9860321268874121E-4</v>
      </c>
      <c r="L54" s="7">
        <v>5.3301680912412413E-4</v>
      </c>
      <c r="M54" s="7">
        <v>6.3102966569004927E-4</v>
      </c>
      <c r="N54" s="7">
        <v>4.2608615556425218E-4</v>
      </c>
      <c r="O54" s="7">
        <v>4.0522292994835314E-4</v>
      </c>
    </row>
    <row r="55" spans="1:15">
      <c r="A55" s="7" t="s">
        <v>7</v>
      </c>
      <c r="B55" s="4" t="s">
        <v>251</v>
      </c>
      <c r="C55" s="2" t="s">
        <v>14</v>
      </c>
      <c r="D55" s="13" t="s">
        <v>93</v>
      </c>
      <c r="E55" s="3" t="str">
        <f>IF($B55="","",VLOOKUP($B55,mapping!$A$5:$B$15,2,0))</f>
        <v>CRF-Liquid Fuels</v>
      </c>
      <c r="F55" s="12" t="s">
        <v>14</v>
      </c>
      <c r="G55" s="7" t="s">
        <v>20</v>
      </c>
      <c r="H55" s="18" t="s">
        <v>202</v>
      </c>
      <c r="I55" s="7">
        <v>3.3217348604733223E-2</v>
      </c>
      <c r="J55" s="7">
        <v>1.4366855727679937E-2</v>
      </c>
      <c r="K55" s="7">
        <v>1.3465805233095594E-2</v>
      </c>
      <c r="L55" s="7">
        <v>9.9283349544931343E-3</v>
      </c>
      <c r="M55" s="7">
        <v>8.383679876081792E-3</v>
      </c>
      <c r="N55" s="7">
        <v>4.849266342591271E-3</v>
      </c>
      <c r="O55" s="7">
        <v>3.3575616457495465E-3</v>
      </c>
    </row>
    <row r="56" spans="1:15">
      <c r="A56" s="7" t="s">
        <v>7</v>
      </c>
      <c r="B56" s="4" t="s">
        <v>251</v>
      </c>
      <c r="C56" s="2" t="s">
        <v>15</v>
      </c>
      <c r="D56" s="13" t="s">
        <v>93</v>
      </c>
      <c r="E56" s="3" t="str">
        <f>IF($B56="","",VLOOKUP($B56,mapping!$A$5:$B$15,2,0))</f>
        <v>CRF-Liquid Fuels</v>
      </c>
      <c r="F56" s="12" t="s">
        <v>147</v>
      </c>
      <c r="G56" s="7" t="s">
        <v>20</v>
      </c>
      <c r="H56" s="18" t="s">
        <v>202</v>
      </c>
      <c r="I56" s="7">
        <v>28.688489388800001</v>
      </c>
      <c r="J56" s="7">
        <v>27.972951247329998</v>
      </c>
      <c r="K56" s="7">
        <v>27.855127872964001</v>
      </c>
      <c r="L56" s="7">
        <v>27.383834375500001</v>
      </c>
      <c r="M56" s="7">
        <v>26.758048108489998</v>
      </c>
      <c r="N56" s="7">
        <v>26.405833032389999</v>
      </c>
      <c r="O56" s="7">
        <v>25.530211492509999</v>
      </c>
    </row>
    <row r="57" spans="1:15">
      <c r="A57" s="7" t="s">
        <v>7</v>
      </c>
      <c r="B57" s="3" t="s">
        <v>13</v>
      </c>
      <c r="C57" s="1" t="s">
        <v>16</v>
      </c>
      <c r="D57" s="13" t="s">
        <v>93</v>
      </c>
      <c r="E57" s="3" t="str">
        <f>IF($B57="","",VLOOKUP($B57,mapping!$A$5:$B$15,2,0))</f>
        <v>CRF-Bio Fuels</v>
      </c>
      <c r="F57" s="12" t="s">
        <v>16</v>
      </c>
      <c r="G57" s="7" t="s">
        <v>20</v>
      </c>
      <c r="H57" s="18" t="s">
        <v>202</v>
      </c>
      <c r="I57" s="7" t="s">
        <v>263</v>
      </c>
      <c r="J57" s="7">
        <v>1.1883706731405704E-2</v>
      </c>
      <c r="K57" s="7">
        <v>1.3301278569079722E-2</v>
      </c>
      <c r="L57" s="7">
        <v>1.8979558051574984E-2</v>
      </c>
      <c r="M57" s="7">
        <v>2.6075404444296055E-2</v>
      </c>
      <c r="N57" s="7">
        <v>3.008700623136875E-2</v>
      </c>
      <c r="O57" s="7">
        <v>4.011600498676271E-2</v>
      </c>
    </row>
    <row r="58" spans="1:15">
      <c r="A58" s="7" t="s">
        <v>7</v>
      </c>
      <c r="B58" s="3" t="s">
        <v>251</v>
      </c>
      <c r="C58" s="1" t="s">
        <v>16</v>
      </c>
      <c r="D58" s="13" t="s">
        <v>93</v>
      </c>
      <c r="E58" s="3" t="str">
        <f>IF($B58="","",VLOOKUP($B58,mapping!$A$5:$B$15,2,0))</f>
        <v>CRF-Liquid Fuels</v>
      </c>
      <c r="F58" s="12" t="s">
        <v>16</v>
      </c>
      <c r="G58" s="7" t="s">
        <v>20</v>
      </c>
      <c r="H58" s="18" t="s">
        <v>202</v>
      </c>
      <c r="I58" s="7">
        <v>0.37878707753173441</v>
      </c>
      <c r="J58" s="7">
        <v>0.36062209867555345</v>
      </c>
      <c r="K58" s="7">
        <v>0.35920291983200942</v>
      </c>
      <c r="L58" s="7">
        <v>0.35352620466433032</v>
      </c>
      <c r="M58" s="7">
        <v>0.34643037457052611</v>
      </c>
      <c r="N58" s="7">
        <v>0.34241879256470331</v>
      </c>
      <c r="O58" s="7">
        <v>0.33238977781328372</v>
      </c>
    </row>
    <row r="59" spans="1:15">
      <c r="A59" s="7" t="s">
        <v>8</v>
      </c>
      <c r="B59" s="3" t="s">
        <v>13</v>
      </c>
      <c r="C59" s="1" t="s">
        <v>14</v>
      </c>
      <c r="D59" s="13" t="s">
        <v>94</v>
      </c>
      <c r="E59" s="3" t="str">
        <f>IF($B59="","",VLOOKUP($B59,mapping!$A$5:$B$15,2,0))</f>
        <v>CRF-Bio Fuels</v>
      </c>
      <c r="F59" s="12" t="s">
        <v>14</v>
      </c>
      <c r="G59" s="7" t="s">
        <v>20</v>
      </c>
      <c r="H59" s="18" t="s">
        <v>202</v>
      </c>
      <c r="I59" s="7" t="s">
        <v>263</v>
      </c>
      <c r="J59" s="7">
        <v>6.9719095349649552E-3</v>
      </c>
      <c r="K59" s="7">
        <v>7.9726518037996456E-3</v>
      </c>
      <c r="L59" s="7">
        <v>1.1975289054620376E-2</v>
      </c>
      <c r="M59" s="7">
        <v>1.6768990992802994E-2</v>
      </c>
      <c r="N59" s="7">
        <v>1.9128250542796658E-2</v>
      </c>
      <c r="O59" s="7">
        <v>2.4998408654672954E-2</v>
      </c>
    </row>
    <row r="60" spans="1:15">
      <c r="A60" s="7" t="s">
        <v>8</v>
      </c>
      <c r="B60" s="3" t="s">
        <v>251</v>
      </c>
      <c r="C60" s="1" t="s">
        <v>14</v>
      </c>
      <c r="D60" s="13" t="s">
        <v>94</v>
      </c>
      <c r="E60" s="3" t="str">
        <f>IF($B60="","",VLOOKUP($B60,mapping!$A$5:$B$15,2,0))</f>
        <v>CRF-Liquid Fuels</v>
      </c>
      <c r="F60" s="12" t="s">
        <v>14</v>
      </c>
      <c r="G60" s="7" t="s">
        <v>20</v>
      </c>
      <c r="H60" s="18" t="s">
        <v>202</v>
      </c>
      <c r="I60" s="7">
        <v>1.8849413545136682</v>
      </c>
      <c r="J60" s="7">
        <v>0.35184778748302453</v>
      </c>
      <c r="K60" s="7">
        <v>0.35116340938651081</v>
      </c>
      <c r="L60" s="7">
        <v>0.34855143189766497</v>
      </c>
      <c r="M60" s="7">
        <v>0.34036003872216641</v>
      </c>
      <c r="N60" s="7">
        <v>0.33548554483664994</v>
      </c>
      <c r="O60" s="7">
        <v>0.32500105092863968</v>
      </c>
    </row>
    <row r="61" spans="1:15">
      <c r="A61" s="7" t="s">
        <v>8</v>
      </c>
      <c r="B61" s="3" t="s">
        <v>251</v>
      </c>
      <c r="C61" s="1" t="s">
        <v>15</v>
      </c>
      <c r="D61" s="13" t="s">
        <v>94</v>
      </c>
      <c r="E61" s="3" t="str">
        <f>IF($B61="","",VLOOKUP($B61,mapping!$A$5:$B$15,2,0))</f>
        <v>CRF-Liquid Fuels</v>
      </c>
      <c r="F61" s="12" t="s">
        <v>147</v>
      </c>
      <c r="G61" s="7" t="s">
        <v>20</v>
      </c>
      <c r="H61" s="18" t="s">
        <v>202</v>
      </c>
      <c r="I61" s="7">
        <v>114.27296867536903</v>
      </c>
      <c r="J61" s="7">
        <v>110.54274608265</v>
      </c>
      <c r="K61" s="7">
        <v>110.01745097870882</v>
      </c>
      <c r="L61" s="7">
        <v>107.91627056294401</v>
      </c>
      <c r="M61" s="7">
        <v>105.23377832471199</v>
      </c>
      <c r="N61" s="7">
        <v>103.46421044108801</v>
      </c>
      <c r="O61" s="7">
        <v>99.931341447679998</v>
      </c>
    </row>
    <row r="62" spans="1:15">
      <c r="A62" s="7" t="s">
        <v>8</v>
      </c>
      <c r="B62" s="3" t="s">
        <v>13</v>
      </c>
      <c r="C62" s="1" t="s">
        <v>16</v>
      </c>
      <c r="D62" s="13" t="s">
        <v>94</v>
      </c>
      <c r="E62" s="3" t="str">
        <f>IF($B62="","",VLOOKUP($B62,mapping!$A$5:$B$15,2,0))</f>
        <v>CRF-Bio Fuels</v>
      </c>
      <c r="F62" s="12" t="s">
        <v>16</v>
      </c>
      <c r="G62" s="7" t="s">
        <v>20</v>
      </c>
      <c r="H62" s="18" t="s">
        <v>202</v>
      </c>
      <c r="I62" s="7" t="s">
        <v>263</v>
      </c>
      <c r="J62" s="7">
        <v>3.0768870601381497E-2</v>
      </c>
      <c r="K62" s="7">
        <v>3.4529124886447694E-2</v>
      </c>
      <c r="L62" s="7">
        <v>4.9564747789009135E-2</v>
      </c>
      <c r="M62" s="7">
        <v>6.8148224027162529E-2</v>
      </c>
      <c r="N62" s="7">
        <v>7.8084996338230211E-2</v>
      </c>
      <c r="O62" s="7">
        <v>0.10327128987088022</v>
      </c>
    </row>
    <row r="63" spans="1:15">
      <c r="A63" s="7" t="s">
        <v>8</v>
      </c>
      <c r="B63" s="3" t="s">
        <v>251</v>
      </c>
      <c r="C63" s="1" t="s">
        <v>16</v>
      </c>
      <c r="D63" s="13" t="s">
        <v>94</v>
      </c>
      <c r="E63" s="3" t="str">
        <f>IF($B63="","",VLOOKUP($B63,mapping!$A$5:$B$15,2,0))</f>
        <v>CRF-Liquid Fuels</v>
      </c>
      <c r="F63" s="12" t="s">
        <v>16</v>
      </c>
      <c r="G63" s="7" t="s">
        <v>20</v>
      </c>
      <c r="H63" s="18" t="s">
        <v>202</v>
      </c>
      <c r="I63" s="7">
        <v>1.0283632551406485</v>
      </c>
      <c r="J63" s="7">
        <v>1.0622846243883399</v>
      </c>
      <c r="K63" s="7">
        <v>1.0569141291127628</v>
      </c>
      <c r="L63" s="7">
        <v>1.0354358424615893</v>
      </c>
      <c r="M63" s="7">
        <v>1.0099322958147821</v>
      </c>
      <c r="N63" s="7">
        <v>0.99277667925199475</v>
      </c>
      <c r="O63" s="7">
        <v>0.95929548380858787</v>
      </c>
    </row>
    <row r="64" spans="1:15">
      <c r="A64" s="7" t="s">
        <v>9</v>
      </c>
      <c r="B64" s="3" t="s">
        <v>250</v>
      </c>
      <c r="C64" s="1" t="s">
        <v>14</v>
      </c>
      <c r="D64" s="13" t="s">
        <v>95</v>
      </c>
      <c r="E64" s="3" t="str">
        <f>IF($B64="","",VLOOKUP($B64,mapping!$A$5:$B$15,2,0))</f>
        <v>CRF-Gaseous Fuels</v>
      </c>
      <c r="F64" s="12" t="s">
        <v>14</v>
      </c>
      <c r="G64" s="7" t="s">
        <v>20</v>
      </c>
      <c r="H64" s="18" t="s">
        <v>202</v>
      </c>
      <c r="I64" s="7">
        <v>7.8400000000000011E-2</v>
      </c>
      <c r="J64" s="7">
        <v>3.0240000000000003E-2</v>
      </c>
      <c r="K64" s="7">
        <v>6.7200000000000003E-3</v>
      </c>
      <c r="L64" s="7">
        <v>6.7200000000000003E-3</v>
      </c>
      <c r="M64" s="7">
        <v>6.7200000000000003E-3</v>
      </c>
      <c r="N64" s="7">
        <v>6.7200000000000003E-3</v>
      </c>
      <c r="O64" s="7">
        <v>6.7200000000000003E-3</v>
      </c>
    </row>
    <row r="65" spans="1:15">
      <c r="A65" s="7" t="s">
        <v>9</v>
      </c>
      <c r="B65" s="3" t="s">
        <v>250</v>
      </c>
      <c r="C65" s="1" t="s">
        <v>15</v>
      </c>
      <c r="D65" s="13" t="s">
        <v>95</v>
      </c>
      <c r="E65" s="3" t="str">
        <f>IF($B65="","",VLOOKUP($B65,mapping!$A$5:$B$15,2,0))</f>
        <v>CRF-Gaseous Fuels</v>
      </c>
      <c r="F65" s="12" t="s">
        <v>147</v>
      </c>
      <c r="G65" s="7" t="s">
        <v>20</v>
      </c>
      <c r="H65" s="18" t="s">
        <v>202</v>
      </c>
      <c r="I65" s="7">
        <v>31.416</v>
      </c>
      <c r="J65" s="7">
        <v>30.348000000000003</v>
      </c>
      <c r="K65" s="7">
        <v>6.7080000000000002</v>
      </c>
      <c r="L65" s="7">
        <v>6.7080000000000002</v>
      </c>
      <c r="M65" s="7">
        <v>6.7080000000000002</v>
      </c>
      <c r="N65" s="7">
        <v>6.7080000000000002</v>
      </c>
      <c r="O65" s="7">
        <v>6.7080000000000002</v>
      </c>
    </row>
    <row r="66" spans="1:15">
      <c r="A66" s="7" t="s">
        <v>9</v>
      </c>
      <c r="B66" s="3" t="s">
        <v>250</v>
      </c>
      <c r="C66" s="1" t="s">
        <v>16</v>
      </c>
      <c r="D66" s="13" t="s">
        <v>95</v>
      </c>
      <c r="E66" s="3" t="str">
        <f>IF($B66="","",VLOOKUP($B66,mapping!$A$5:$B$15,2,0))</f>
        <v>CRF-Gaseous Fuels</v>
      </c>
      <c r="F66" s="12" t="s">
        <v>16</v>
      </c>
      <c r="G66" s="7" t="s">
        <v>20</v>
      </c>
      <c r="H66" s="18" t="s">
        <v>202</v>
      </c>
      <c r="I66" s="7">
        <v>1.4840000000000001E-2</v>
      </c>
      <c r="J66" s="7">
        <v>1.4310000000000002E-2</v>
      </c>
      <c r="K66" s="7">
        <v>3.1800000000000001E-3</v>
      </c>
      <c r="L66" s="7">
        <v>3.1800000000000001E-3</v>
      </c>
      <c r="M66" s="7">
        <v>3.1800000000000001E-3</v>
      </c>
      <c r="N66" s="7">
        <v>3.1800000000000001E-3</v>
      </c>
      <c r="O66" s="7">
        <v>3.1800000000000001E-3</v>
      </c>
    </row>
    <row r="67" spans="1:15">
      <c r="A67" s="7" t="s">
        <v>10</v>
      </c>
      <c r="B67" s="3" t="s">
        <v>13</v>
      </c>
      <c r="C67" s="1" t="s">
        <v>14</v>
      </c>
      <c r="D67" s="13" t="s">
        <v>96</v>
      </c>
      <c r="E67" s="3" t="str">
        <f>IF($B67="","",VLOOKUP($B67,mapping!$A$5:$B$15,2,0))</f>
        <v>CRF-Bio Fuels</v>
      </c>
      <c r="F67" s="12" t="s">
        <v>14</v>
      </c>
      <c r="G67" s="7" t="s">
        <v>20</v>
      </c>
      <c r="H67" s="18" t="s">
        <v>202</v>
      </c>
      <c r="I67" s="7">
        <v>9.4250245600000007</v>
      </c>
      <c r="J67" s="7">
        <v>5.2198797741560146</v>
      </c>
      <c r="K67" s="7">
        <v>5.8194480109825477</v>
      </c>
      <c r="L67" s="7">
        <v>4.156044332656128</v>
      </c>
      <c r="M67" s="7">
        <v>2.4345171618988468</v>
      </c>
      <c r="N67" s="7">
        <v>1.8327008708748831</v>
      </c>
      <c r="O67" s="7">
        <v>1.3049087726101321</v>
      </c>
    </row>
    <row r="68" spans="1:15">
      <c r="A68" s="7" t="s">
        <v>10</v>
      </c>
      <c r="B68" s="3" t="s">
        <v>250</v>
      </c>
      <c r="C68" s="1" t="s">
        <v>14</v>
      </c>
      <c r="D68" s="13" t="s">
        <v>96</v>
      </c>
      <c r="E68" s="3" t="str">
        <f>IF($B68="","",VLOOKUP($B68,mapping!$A$5:$B$15,2,0))</f>
        <v>CRF-Gaseous Fuels</v>
      </c>
      <c r="F68" s="12" t="s">
        <v>14</v>
      </c>
      <c r="G68" s="7" t="s">
        <v>20</v>
      </c>
      <c r="H68" s="18" t="s">
        <v>202</v>
      </c>
      <c r="I68" s="7">
        <v>0.75859978784800008</v>
      </c>
      <c r="J68" s="7">
        <v>1.3497873760000003</v>
      </c>
      <c r="K68" s="7">
        <v>1.4356455750000001</v>
      </c>
      <c r="L68" s="7">
        <v>1.45070771558314</v>
      </c>
      <c r="M68" s="7">
        <v>1.4695353913120655</v>
      </c>
      <c r="N68" s="7">
        <v>1.3789409829915193</v>
      </c>
      <c r="O68" s="7">
        <v>1.166390786776325</v>
      </c>
    </row>
    <row r="69" spans="1:15">
      <c r="A69" s="7" t="s">
        <v>10</v>
      </c>
      <c r="B69" s="3" t="s">
        <v>251</v>
      </c>
      <c r="C69" s="1" t="s">
        <v>14</v>
      </c>
      <c r="D69" s="13" t="s">
        <v>96</v>
      </c>
      <c r="E69" s="3" t="str">
        <f>IF($B69="","",VLOOKUP($B69,mapping!$A$5:$B$15,2,0))</f>
        <v>CRF-Liquid Fuels</v>
      </c>
      <c r="F69" s="12" t="s">
        <v>14</v>
      </c>
      <c r="G69" s="7" t="s">
        <v>20</v>
      </c>
      <c r="H69" s="18" t="s">
        <v>202</v>
      </c>
      <c r="I69" s="7">
        <v>16.995925110795476</v>
      </c>
      <c r="J69" s="7">
        <v>8.2786297558245785</v>
      </c>
      <c r="K69" s="7">
        <v>9.3217900714787465</v>
      </c>
      <c r="L69" s="7">
        <v>6.9998860936122433</v>
      </c>
      <c r="M69" s="7">
        <v>4.1248534581792153</v>
      </c>
      <c r="N69" s="7">
        <v>3.3255234170442267</v>
      </c>
      <c r="O69" s="7">
        <v>2.2039792263589661</v>
      </c>
    </row>
    <row r="70" spans="1:15">
      <c r="A70" s="7" t="s">
        <v>10</v>
      </c>
      <c r="B70" s="3" t="s">
        <v>250</v>
      </c>
      <c r="C70" s="1" t="s">
        <v>15</v>
      </c>
      <c r="D70" s="13" t="s">
        <v>96</v>
      </c>
      <c r="E70" s="3" t="str">
        <f>IF($B70="","",VLOOKUP($B70,mapping!$A$5:$B$15,2,0))</f>
        <v>CRF-Gaseous Fuels</v>
      </c>
      <c r="F70" s="12" t="s">
        <v>147</v>
      </c>
      <c r="G70" s="7" t="s">
        <v>20</v>
      </c>
      <c r="H70" s="18" t="s">
        <v>202</v>
      </c>
      <c r="I70" s="7">
        <v>919.99780703292015</v>
      </c>
      <c r="J70" s="7">
        <v>1183.2194921316002</v>
      </c>
      <c r="K70" s="7">
        <v>1348.3131354212001</v>
      </c>
      <c r="L70" s="7">
        <v>1362.4590237584453</v>
      </c>
      <c r="M70" s="7">
        <v>1380.1413841800008</v>
      </c>
      <c r="N70" s="7">
        <v>1295.0579674499986</v>
      </c>
      <c r="O70" s="7">
        <v>1095.4375134300017</v>
      </c>
    </row>
    <row r="71" spans="1:15">
      <c r="A71" s="7" t="s">
        <v>10</v>
      </c>
      <c r="B71" s="3" t="s">
        <v>251</v>
      </c>
      <c r="C71" s="1" t="s">
        <v>15</v>
      </c>
      <c r="D71" s="13" t="s">
        <v>96</v>
      </c>
      <c r="E71" s="3" t="str">
        <f>IF($B71="","",VLOOKUP($B71,mapping!$A$5:$B$15,2,0))</f>
        <v>CRF-Liquid Fuels</v>
      </c>
      <c r="F71" s="12" t="s">
        <v>147</v>
      </c>
      <c r="G71" s="7" t="s">
        <v>20</v>
      </c>
      <c r="H71" s="18" t="s">
        <v>202</v>
      </c>
      <c r="I71" s="7">
        <v>3918.4687244330562</v>
      </c>
      <c r="J71" s="7">
        <v>2051.9385781353153</v>
      </c>
      <c r="K71" s="7">
        <v>2328.392003874676</v>
      </c>
      <c r="L71" s="7">
        <v>1723.5042695460334</v>
      </c>
      <c r="M71" s="7">
        <v>967.85048398780577</v>
      </c>
      <c r="N71" s="7">
        <v>757.01534830163757</v>
      </c>
      <c r="O71" s="7">
        <v>461.05369423247998</v>
      </c>
    </row>
    <row r="72" spans="1:15">
      <c r="A72" s="7" t="s">
        <v>10</v>
      </c>
      <c r="B72" s="3" t="s">
        <v>13</v>
      </c>
      <c r="C72" s="1" t="s">
        <v>16</v>
      </c>
      <c r="D72" s="13" t="s">
        <v>96</v>
      </c>
      <c r="E72" s="3" t="str">
        <f>IF($B72="","",VLOOKUP($B72,mapping!$A$5:$B$15,2,0))</f>
        <v>CRF-Bio Fuels</v>
      </c>
      <c r="F72" s="12" t="s">
        <v>16</v>
      </c>
      <c r="G72" s="7" t="s">
        <v>20</v>
      </c>
      <c r="H72" s="18" t="s">
        <v>202</v>
      </c>
      <c r="I72" s="7">
        <v>3.115075</v>
      </c>
      <c r="J72" s="7">
        <v>10.735755825693138</v>
      </c>
      <c r="K72" s="7">
        <v>12.590632556512816</v>
      </c>
      <c r="L72" s="7">
        <v>10.550200125191331</v>
      </c>
      <c r="M72" s="7">
        <v>7.9996583532183667</v>
      </c>
      <c r="N72" s="7">
        <v>7.3425839961252271</v>
      </c>
      <c r="O72" s="7">
        <v>5.221954382381564</v>
      </c>
    </row>
    <row r="73" spans="1:15">
      <c r="A73" s="7" t="s">
        <v>10</v>
      </c>
      <c r="B73" s="3" t="s">
        <v>250</v>
      </c>
      <c r="C73" s="1" t="s">
        <v>16</v>
      </c>
      <c r="D73" s="13" t="s">
        <v>96</v>
      </c>
      <c r="E73" s="3" t="str">
        <f>IF($B73="","",VLOOKUP($B73,mapping!$A$5:$B$15,2,0))</f>
        <v>CRF-Gaseous Fuels</v>
      </c>
      <c r="F73" s="12" t="s">
        <v>16</v>
      </c>
      <c r="G73" s="7" t="s">
        <v>20</v>
      </c>
      <c r="H73" s="18" t="s">
        <v>202</v>
      </c>
      <c r="I73" s="7">
        <v>0.43458006927580006</v>
      </c>
      <c r="J73" s="7">
        <v>0.55792378187700009</v>
      </c>
      <c r="K73" s="7">
        <v>0.63918243450200019</v>
      </c>
      <c r="L73" s="7">
        <v>0.64588844596777817</v>
      </c>
      <c r="M73" s="7">
        <v>0.65427096030000043</v>
      </c>
      <c r="N73" s="7">
        <v>0.61393624574999939</v>
      </c>
      <c r="O73" s="7">
        <v>0.51930400905000074</v>
      </c>
    </row>
    <row r="74" spans="1:15">
      <c r="A74" s="7" t="s">
        <v>10</v>
      </c>
      <c r="B74" s="3" t="s">
        <v>251</v>
      </c>
      <c r="C74" s="1" t="s">
        <v>16</v>
      </c>
      <c r="D74" s="13" t="s">
        <v>96</v>
      </c>
      <c r="E74" s="3" t="str">
        <f>IF($B74="","",VLOOKUP($B74,mapping!$A$5:$B$15,2,0))</f>
        <v>CRF-Liquid Fuels</v>
      </c>
      <c r="F74" s="12" t="s">
        <v>16</v>
      </c>
      <c r="G74" s="7" t="s">
        <v>20</v>
      </c>
      <c r="H74" s="18" t="s">
        <v>202</v>
      </c>
      <c r="I74" s="7">
        <v>8.4611986482340207</v>
      </c>
      <c r="J74" s="7">
        <v>4.4635819566191479</v>
      </c>
      <c r="K74" s="7">
        <v>5.0603077380433827</v>
      </c>
      <c r="L74" s="7">
        <v>3.7565524033945636</v>
      </c>
      <c r="M74" s="7">
        <v>2.1264067257287103</v>
      </c>
      <c r="N74" s="7">
        <v>1.6714600579594587</v>
      </c>
      <c r="O74" s="7">
        <v>1.0325019391700814</v>
      </c>
    </row>
    <row r="75" spans="1:15">
      <c r="A75" s="7" t="s">
        <v>11</v>
      </c>
      <c r="B75" s="3" t="s">
        <v>13</v>
      </c>
      <c r="C75" s="1" t="s">
        <v>14</v>
      </c>
      <c r="D75" s="13" t="s">
        <v>97</v>
      </c>
      <c r="E75" s="3" t="str">
        <f>IF($B75="","",VLOOKUP($B75,mapping!$A$5:$B$15,2,0))</f>
        <v>CRF-Bio Fuels</v>
      </c>
      <c r="F75" s="12" t="s">
        <v>14</v>
      </c>
      <c r="G75" s="7" t="s">
        <v>20</v>
      </c>
      <c r="H75" s="18" t="s">
        <v>202</v>
      </c>
      <c r="I75" s="7">
        <v>103.81147784000001</v>
      </c>
      <c r="J75" s="7">
        <v>25.355513281508472</v>
      </c>
      <c r="K75" s="7">
        <v>25.544944187210433</v>
      </c>
      <c r="L75" s="7">
        <v>22.253196221618701</v>
      </c>
      <c r="M75" s="7">
        <v>18.413884713346988</v>
      </c>
      <c r="N75" s="7">
        <v>14.675157802619896</v>
      </c>
      <c r="O75" s="7">
        <v>11.7421279949046</v>
      </c>
    </row>
    <row r="76" spans="1:15">
      <c r="A76" s="7" t="s">
        <v>11</v>
      </c>
      <c r="B76" s="3" t="s">
        <v>250</v>
      </c>
      <c r="C76" s="1" t="s">
        <v>14</v>
      </c>
      <c r="D76" s="13" t="s">
        <v>97</v>
      </c>
      <c r="E76" s="3" t="str">
        <f>IF($B76="","",VLOOKUP($B76,mapping!$A$5:$B$15,2,0))</f>
        <v>CRF-Gaseous Fuels</v>
      </c>
      <c r="F76" s="12" t="s">
        <v>14</v>
      </c>
      <c r="G76" s="7" t="s">
        <v>20</v>
      </c>
      <c r="H76" s="18" t="s">
        <v>202</v>
      </c>
      <c r="I76" s="7">
        <v>0.78133870097080005</v>
      </c>
      <c r="J76" s="7">
        <v>1.5506989540560001</v>
      </c>
      <c r="K76" s="7">
        <v>1.715085932616</v>
      </c>
      <c r="L76" s="7">
        <v>1.6852859703592498</v>
      </c>
      <c r="M76" s="7">
        <v>1.6480360175383129</v>
      </c>
      <c r="N76" s="7">
        <v>1.5919899300125151</v>
      </c>
      <c r="O76" s="7">
        <v>1.311273807196691</v>
      </c>
    </row>
    <row r="77" spans="1:15">
      <c r="A77" s="7" t="s">
        <v>11</v>
      </c>
      <c r="B77" s="3" t="s">
        <v>251</v>
      </c>
      <c r="C77" s="1" t="s">
        <v>14</v>
      </c>
      <c r="D77" s="13" t="s">
        <v>97</v>
      </c>
      <c r="E77" s="3" t="str">
        <f>IF($B77="","",VLOOKUP($B77,mapping!$A$5:$B$15,2,0))</f>
        <v>CRF-Liquid Fuels</v>
      </c>
      <c r="F77" s="12" t="s">
        <v>14</v>
      </c>
      <c r="G77" s="7" t="s">
        <v>20</v>
      </c>
      <c r="H77" s="18" t="s">
        <v>202</v>
      </c>
      <c r="I77" s="7">
        <v>39.007652082700133</v>
      </c>
      <c r="J77" s="7">
        <v>16.794997462121099</v>
      </c>
      <c r="K77" s="7">
        <v>18.658173133523629</v>
      </c>
      <c r="L77" s="7">
        <v>15.424076434183114</v>
      </c>
      <c r="M77" s="7">
        <v>11.395436061401528</v>
      </c>
      <c r="N77" s="7">
        <v>9.5194582808502162</v>
      </c>
      <c r="O77" s="7">
        <v>4.8134597724788444</v>
      </c>
    </row>
    <row r="78" spans="1:15">
      <c r="A78" s="7" t="s">
        <v>11</v>
      </c>
      <c r="B78" s="3" t="s">
        <v>252</v>
      </c>
      <c r="C78" s="1" t="s">
        <v>14</v>
      </c>
      <c r="D78" s="13" t="s">
        <v>97</v>
      </c>
      <c r="E78" s="3" t="str">
        <f>IF($B78="","",VLOOKUP($B78,mapping!$A$5:$B$15,2,0))</f>
        <v>CRF-Solid Fuels</v>
      </c>
      <c r="F78" s="12" t="s">
        <v>14</v>
      </c>
      <c r="G78" s="7" t="s">
        <v>20</v>
      </c>
      <c r="H78" s="18" t="s">
        <v>202</v>
      </c>
      <c r="I78" s="7">
        <v>5.2920000000000007</v>
      </c>
      <c r="J78" s="7">
        <v>0.84000000000000008</v>
      </c>
      <c r="K78" s="7">
        <v>0.84000000000000008</v>
      </c>
      <c r="L78" s="7">
        <v>0.51095296000000001</v>
      </c>
      <c r="M78" s="7">
        <v>9.9644160000000009E-2</v>
      </c>
      <c r="N78" s="7">
        <v>2.9162280000000002E-2</v>
      </c>
      <c r="O78" s="7" t="s">
        <v>263</v>
      </c>
    </row>
    <row r="79" spans="1:15">
      <c r="A79" s="7" t="s">
        <v>11</v>
      </c>
      <c r="B79" s="3" t="s">
        <v>250</v>
      </c>
      <c r="C79" s="1" t="s">
        <v>15</v>
      </c>
      <c r="D79" s="13" t="s">
        <v>97</v>
      </c>
      <c r="E79" s="3" t="str">
        <f>IF($B79="","",VLOOKUP($B79,mapping!$A$5:$B$15,2,0))</f>
        <v>CRF-Gaseous Fuels</v>
      </c>
      <c r="F79" s="12" t="s">
        <v>147</v>
      </c>
      <c r="G79" s="7" t="s">
        <v>20</v>
      </c>
      <c r="H79" s="18" t="s">
        <v>202</v>
      </c>
      <c r="I79" s="7">
        <v>1450.969501191606</v>
      </c>
      <c r="J79" s="7">
        <v>2653.5019458686202</v>
      </c>
      <c r="K79" s="7">
        <v>2967.5242055020899</v>
      </c>
      <c r="L79" s="7">
        <v>2915.962876918938</v>
      </c>
      <c r="M79" s="7">
        <v>2851.5112161899979</v>
      </c>
      <c r="N79" s="7">
        <v>2754.5375787800008</v>
      </c>
      <c r="O79" s="7">
        <v>2268.8290358499976</v>
      </c>
    </row>
    <row r="80" spans="1:15">
      <c r="A80" s="7" t="s">
        <v>11</v>
      </c>
      <c r="B80" s="3" t="s">
        <v>251</v>
      </c>
      <c r="C80" s="1" t="s">
        <v>15</v>
      </c>
      <c r="D80" s="13" t="s">
        <v>97</v>
      </c>
      <c r="E80" s="3" t="str">
        <f>IF($B80="","",VLOOKUP($B80,mapping!$A$5:$B$15,2,0))</f>
        <v>CRF-Liquid Fuels</v>
      </c>
      <c r="F80" s="12" t="s">
        <v>147</v>
      </c>
      <c r="G80" s="7" t="s">
        <v>20</v>
      </c>
      <c r="H80" s="18" t="s">
        <v>202</v>
      </c>
      <c r="I80" s="7">
        <v>10099.070591920354</v>
      </c>
      <c r="J80" s="7">
        <v>4387.0757049943504</v>
      </c>
      <c r="K80" s="7">
        <v>4878.8512740407086</v>
      </c>
      <c r="L80" s="7">
        <v>4032.7115613431229</v>
      </c>
      <c r="M80" s="7">
        <v>2975.1303401280784</v>
      </c>
      <c r="N80" s="7">
        <v>2481.6662437690093</v>
      </c>
      <c r="O80" s="7">
        <v>1242.5975472017392</v>
      </c>
    </row>
    <row r="81" spans="1:15">
      <c r="A81" s="7" t="s">
        <v>11</v>
      </c>
      <c r="B81" s="3" t="s">
        <v>252</v>
      </c>
      <c r="C81" s="1" t="s">
        <v>15</v>
      </c>
      <c r="D81" s="13" t="s">
        <v>97</v>
      </c>
      <c r="E81" s="3" t="str">
        <f>IF($B81="","",VLOOKUP($B81,mapping!$A$5:$B$15,2,0))</f>
        <v>CRF-Solid Fuels</v>
      </c>
      <c r="F81" s="12" t="s">
        <v>147</v>
      </c>
      <c r="G81" s="7" t="s">
        <v>20</v>
      </c>
      <c r="H81" s="18" t="s">
        <v>202</v>
      </c>
      <c r="I81" s="7">
        <v>58.401000000000003</v>
      </c>
      <c r="J81" s="7">
        <v>9.2700000000000014</v>
      </c>
      <c r="K81" s="7">
        <v>9.2700000000000014</v>
      </c>
      <c r="L81" s="7">
        <v>5.6387308800000007</v>
      </c>
      <c r="M81" s="7">
        <v>1.09964448</v>
      </c>
      <c r="N81" s="7">
        <v>0.32182659000000002</v>
      </c>
      <c r="O81" s="7" t="s">
        <v>263</v>
      </c>
    </row>
    <row r="82" spans="1:15">
      <c r="A82" s="7" t="s">
        <v>11</v>
      </c>
      <c r="B82" s="3" t="s">
        <v>13</v>
      </c>
      <c r="C82" s="1" t="s">
        <v>16</v>
      </c>
      <c r="D82" s="13" t="s">
        <v>97</v>
      </c>
      <c r="E82" s="3" t="str">
        <f>IF($B82="","",VLOOKUP($B82,mapping!$A$5:$B$15,2,0))</f>
        <v>CRF-Bio Fuels</v>
      </c>
      <c r="F82" s="12" t="s">
        <v>16</v>
      </c>
      <c r="G82" s="7" t="s">
        <v>20</v>
      </c>
      <c r="H82" s="18" t="s">
        <v>202</v>
      </c>
      <c r="I82" s="7">
        <v>22.994530710000003</v>
      </c>
      <c r="J82" s="7">
        <v>18.532006288821353</v>
      </c>
      <c r="K82" s="7">
        <v>21.217774054803236</v>
      </c>
      <c r="L82" s="7">
        <v>21.803879635283995</v>
      </c>
      <c r="M82" s="7">
        <v>22.536509519696796</v>
      </c>
      <c r="N82" s="7">
        <v>20.797456223926265</v>
      </c>
      <c r="O82" s="7">
        <v>14.454963236631706</v>
      </c>
    </row>
    <row r="83" spans="1:15">
      <c r="A83" s="7" t="s">
        <v>11</v>
      </c>
      <c r="B83" s="3" t="s">
        <v>250</v>
      </c>
      <c r="C83" s="1" t="s">
        <v>16</v>
      </c>
      <c r="D83" s="13" t="s">
        <v>97</v>
      </c>
      <c r="E83" s="3" t="str">
        <f>IF($B83="","",VLOOKUP($B83,mapping!$A$5:$B$15,2,0))</f>
        <v>CRF-Gaseous Fuels</v>
      </c>
      <c r="F83" s="12" t="s">
        <v>16</v>
      </c>
      <c r="G83" s="7" t="s">
        <v>20</v>
      </c>
      <c r="H83" s="18" t="s">
        <v>202</v>
      </c>
      <c r="I83" s="7">
        <v>0.68539557542919016</v>
      </c>
      <c r="J83" s="7">
        <v>1.2512064335501505</v>
      </c>
      <c r="K83" s="7">
        <v>1.4067869668301503</v>
      </c>
      <c r="L83" s="7">
        <v>1.3823437609723055</v>
      </c>
      <c r="M83" s="7">
        <v>1.3517897536499992</v>
      </c>
      <c r="N83" s="7">
        <v>1.3058183513000006</v>
      </c>
      <c r="O83" s="7">
        <v>1.0755629597499992</v>
      </c>
    </row>
    <row r="84" spans="1:15">
      <c r="A84" s="7" t="s">
        <v>11</v>
      </c>
      <c r="B84" s="3" t="s">
        <v>251</v>
      </c>
      <c r="C84" s="1" t="s">
        <v>16</v>
      </c>
      <c r="D84" s="13" t="s">
        <v>97</v>
      </c>
      <c r="E84" s="3" t="str">
        <f>IF($B84="","",VLOOKUP($B84,mapping!$A$5:$B$15,2,0))</f>
        <v>CRF-Liquid Fuels</v>
      </c>
      <c r="F84" s="12" t="s">
        <v>16</v>
      </c>
      <c r="G84" s="7" t="s">
        <v>20</v>
      </c>
      <c r="H84" s="18" t="s">
        <v>202</v>
      </c>
      <c r="I84" s="7">
        <v>21.811151982703695</v>
      </c>
      <c r="J84" s="7">
        <v>9.498341275087272</v>
      </c>
      <c r="K84" s="7">
        <v>10.559375198355061</v>
      </c>
      <c r="L84" s="7">
        <v>8.7342371297721879</v>
      </c>
      <c r="M84" s="7">
        <v>6.4525952132579611</v>
      </c>
      <c r="N84" s="7">
        <v>5.3878989195124083</v>
      </c>
      <c r="O84" s="7">
        <v>2.7143040746515981</v>
      </c>
    </row>
    <row r="85" spans="1:15">
      <c r="A85" s="7" t="s">
        <v>11</v>
      </c>
      <c r="B85" s="3" t="s">
        <v>252</v>
      </c>
      <c r="C85" s="1" t="s">
        <v>16</v>
      </c>
      <c r="D85" s="13" t="s">
        <v>97</v>
      </c>
      <c r="E85" s="3" t="str">
        <f>IF($B85="","",VLOOKUP($B85,mapping!$A$5:$B$15,2,0))</f>
        <v>CRF-Solid Fuels</v>
      </c>
      <c r="F85" s="12" t="s">
        <v>16</v>
      </c>
      <c r="G85" s="7" t="s">
        <v>20</v>
      </c>
      <c r="H85" s="18" t="s">
        <v>202</v>
      </c>
      <c r="I85" s="7">
        <v>0.25042500000000001</v>
      </c>
      <c r="J85" s="7">
        <v>3.9750000000000001E-2</v>
      </c>
      <c r="K85" s="7">
        <v>3.9750000000000001E-2</v>
      </c>
      <c r="L85" s="7">
        <v>2.4179023999999997E-2</v>
      </c>
      <c r="M85" s="7">
        <v>4.7153039999999992E-3</v>
      </c>
      <c r="N85" s="7">
        <v>1.3800007500000002E-3</v>
      </c>
      <c r="O85" s="7" t="s">
        <v>263</v>
      </c>
    </row>
    <row r="86" spans="1:15">
      <c r="A86" s="7" t="s">
        <v>12</v>
      </c>
      <c r="B86" s="3" t="s">
        <v>13</v>
      </c>
      <c r="C86" s="1" t="s">
        <v>14</v>
      </c>
      <c r="D86" s="13" t="s">
        <v>98</v>
      </c>
      <c r="E86" s="3" t="str">
        <f>IF($B86="","",VLOOKUP($B86,mapping!$A$5:$B$15,2,0))</f>
        <v>CRF-Bio Fuels</v>
      </c>
      <c r="F86" s="12" t="s">
        <v>14</v>
      </c>
      <c r="G86" s="7" t="s">
        <v>20</v>
      </c>
      <c r="H86" s="18" t="s">
        <v>202</v>
      </c>
      <c r="I86" s="7">
        <v>1.239073976</v>
      </c>
      <c r="J86" s="7">
        <v>1.3067915690927054</v>
      </c>
      <c r="K86" s="7">
        <v>1.4075646186814748</v>
      </c>
      <c r="L86" s="7">
        <v>2.2188196377961926</v>
      </c>
      <c r="M86" s="7">
        <v>3.2520777541969297</v>
      </c>
      <c r="N86" s="7">
        <v>3.8102656828666448</v>
      </c>
      <c r="O86" s="7">
        <v>4.7251596748386318</v>
      </c>
    </row>
    <row r="87" spans="1:15">
      <c r="A87" s="7" t="s">
        <v>12</v>
      </c>
      <c r="B87" s="3" t="s">
        <v>250</v>
      </c>
      <c r="C87" s="1" t="s">
        <v>14</v>
      </c>
      <c r="D87" s="13" t="s">
        <v>98</v>
      </c>
      <c r="E87" s="3" t="str">
        <f>IF($B87="","",VLOOKUP($B87,mapping!$A$5:$B$15,2,0))</f>
        <v>CRF-Gaseous Fuels</v>
      </c>
      <c r="F87" s="12" t="s">
        <v>14</v>
      </c>
      <c r="G87" s="7" t="s">
        <v>20</v>
      </c>
      <c r="H87" s="18" t="s">
        <v>202</v>
      </c>
      <c r="I87" s="7">
        <v>3.4968759000000009E-2</v>
      </c>
      <c r="J87" s="7">
        <v>6.1165424003599998E-2</v>
      </c>
      <c r="K87" s="7">
        <v>6.4463649759600006E-2</v>
      </c>
      <c r="L87" s="7">
        <v>5.9905212355333297E-2</v>
      </c>
      <c r="M87" s="7">
        <v>5.4207165599999892E-2</v>
      </c>
      <c r="N87" s="7">
        <v>5.3806186000000006E-2</v>
      </c>
      <c r="O87" s="7">
        <v>5.2176423600000126E-2</v>
      </c>
    </row>
    <row r="88" spans="1:15">
      <c r="A88" s="7" t="s">
        <v>12</v>
      </c>
      <c r="B88" s="3" t="s">
        <v>251</v>
      </c>
      <c r="C88" s="1" t="s">
        <v>14</v>
      </c>
      <c r="D88" s="13" t="s">
        <v>98</v>
      </c>
      <c r="E88" s="3" t="str">
        <f>IF($B88="","",VLOOKUP($B88,mapping!$A$5:$B$15,2,0))</f>
        <v>CRF-Liquid Fuels</v>
      </c>
      <c r="F88" s="12" t="s">
        <v>14</v>
      </c>
      <c r="G88" s="7" t="s">
        <v>20</v>
      </c>
      <c r="H88" s="18" t="s">
        <v>202</v>
      </c>
      <c r="I88" s="7">
        <v>7.5223647066529677</v>
      </c>
      <c r="J88" s="7">
        <v>1.3031888455566034</v>
      </c>
      <c r="K88" s="7">
        <v>1.2711314779535026</v>
      </c>
      <c r="L88" s="7">
        <v>1.2032836150652158</v>
      </c>
      <c r="M88" s="7">
        <v>1.1747789375666564</v>
      </c>
      <c r="N88" s="7">
        <v>1.1008885247189215</v>
      </c>
      <c r="O88" s="7">
        <v>0.99813445758009933</v>
      </c>
    </row>
    <row r="89" spans="1:15">
      <c r="A89" s="7" t="s">
        <v>12</v>
      </c>
      <c r="B89" s="3" t="s">
        <v>250</v>
      </c>
      <c r="C89" s="1" t="s">
        <v>15</v>
      </c>
      <c r="D89" s="13" t="s">
        <v>98</v>
      </c>
      <c r="E89" s="3" t="str">
        <f>IF($B89="","",VLOOKUP($B89,mapping!$A$5:$B$15,2,0))</f>
        <v>CRF-Gaseous Fuels</v>
      </c>
      <c r="F89" s="12" t="s">
        <v>147</v>
      </c>
      <c r="G89" s="7" t="s">
        <v>20</v>
      </c>
      <c r="H89" s="18" t="s">
        <v>202</v>
      </c>
      <c r="I89" s="7">
        <v>70.062406425000006</v>
      </c>
      <c r="J89" s="7">
        <v>122.76774389294</v>
      </c>
      <c r="K89" s="7">
        <v>128.69707219863002</v>
      </c>
      <c r="L89" s="7">
        <v>119.59647752368323</v>
      </c>
      <c r="M89" s="7">
        <v>108.22073417999978</v>
      </c>
      <c r="N89" s="7">
        <v>107.42020705</v>
      </c>
      <c r="O89" s="7">
        <v>104.16650283000024</v>
      </c>
    </row>
    <row r="90" spans="1:15">
      <c r="A90" s="7" t="s">
        <v>12</v>
      </c>
      <c r="B90" s="3" t="s">
        <v>251</v>
      </c>
      <c r="C90" s="1" t="s">
        <v>15</v>
      </c>
      <c r="D90" s="13" t="s">
        <v>98</v>
      </c>
      <c r="E90" s="3" t="str">
        <f>IF($B90="","",VLOOKUP($B90,mapping!$A$5:$B$15,2,0))</f>
        <v>CRF-Liquid Fuels</v>
      </c>
      <c r="F90" s="12" t="s">
        <v>147</v>
      </c>
      <c r="G90" s="7" t="s">
        <v>20</v>
      </c>
      <c r="H90" s="18" t="s">
        <v>202</v>
      </c>
      <c r="I90" s="7">
        <v>742.30360592104012</v>
      </c>
      <c r="J90" s="7">
        <v>454.04382295032207</v>
      </c>
      <c r="K90" s="7">
        <v>452.86200407590201</v>
      </c>
      <c r="L90" s="7">
        <v>494.76876095771104</v>
      </c>
      <c r="M90" s="7">
        <v>548.19596991842036</v>
      </c>
      <c r="N90" s="7">
        <v>531.30683704426792</v>
      </c>
      <c r="O90" s="7">
        <v>505.50511360726239</v>
      </c>
    </row>
    <row r="91" spans="1:15">
      <c r="A91" s="7" t="s">
        <v>12</v>
      </c>
      <c r="B91" s="3" t="s">
        <v>13</v>
      </c>
      <c r="C91" s="1" t="s">
        <v>16</v>
      </c>
      <c r="D91" s="13" t="s">
        <v>98</v>
      </c>
      <c r="E91" s="3" t="str">
        <f>IF($B91="","",VLOOKUP($B91,mapping!$A$5:$B$15,2,0))</f>
        <v>CRF-Bio Fuels</v>
      </c>
      <c r="F91" s="12" t="s">
        <v>16</v>
      </c>
      <c r="G91" s="7" t="s">
        <v>20</v>
      </c>
      <c r="H91" s="18" t="s">
        <v>202</v>
      </c>
      <c r="I91" s="7">
        <v>0.45515249899999999</v>
      </c>
      <c r="J91" s="7">
        <v>1.2572172093324574</v>
      </c>
      <c r="K91" s="7">
        <v>1.4331585054082552</v>
      </c>
      <c r="L91" s="7">
        <v>1.281581303576649</v>
      </c>
      <c r="M91" s="7">
        <v>1.0909147941541613</v>
      </c>
      <c r="N91" s="7">
        <v>1.1040024710634522</v>
      </c>
      <c r="O91" s="7">
        <v>1.0701719643607595</v>
      </c>
    </row>
    <row r="92" spans="1:15">
      <c r="A92" s="7" t="s">
        <v>12</v>
      </c>
      <c r="B92" s="3" t="s">
        <v>250</v>
      </c>
      <c r="C92" s="1" t="s">
        <v>16</v>
      </c>
      <c r="D92" s="13" t="s">
        <v>98</v>
      </c>
      <c r="E92" s="3" t="str">
        <f>IF($B92="","",VLOOKUP($B92,mapping!$A$5:$B$15,2,0))</f>
        <v>CRF-Gaseous Fuels</v>
      </c>
      <c r="F92" s="12" t="s">
        <v>16</v>
      </c>
      <c r="G92" s="7" t="s">
        <v>20</v>
      </c>
      <c r="H92" s="18" t="s">
        <v>202</v>
      </c>
      <c r="I92" s="7">
        <v>3.3095432625000004E-2</v>
      </c>
      <c r="J92" s="7">
        <v>5.7888704860550005E-2</v>
      </c>
      <c r="K92" s="7">
        <v>6.1010239951050017E-2</v>
      </c>
      <c r="L92" s="7">
        <v>5.6696004550583302E-2</v>
      </c>
      <c r="M92" s="7">
        <v>5.1303210299999895E-2</v>
      </c>
      <c r="N92" s="7">
        <v>5.0923711750000003E-2</v>
      </c>
      <c r="O92" s="7">
        <v>4.9381258050000112E-2</v>
      </c>
    </row>
    <row r="93" spans="1:15">
      <c r="A93" s="7" t="s">
        <v>12</v>
      </c>
      <c r="B93" s="3" t="s">
        <v>251</v>
      </c>
      <c r="C93" s="1" t="s">
        <v>16</v>
      </c>
      <c r="D93" s="13" t="s">
        <v>98</v>
      </c>
      <c r="E93" s="3" t="str">
        <f>IF($B93="","",VLOOKUP($B93,mapping!$A$5:$B$15,2,0))</f>
        <v>CRF-Liquid Fuels</v>
      </c>
      <c r="F93" s="12" t="s">
        <v>16</v>
      </c>
      <c r="G93" s="7" t="s">
        <v>20</v>
      </c>
      <c r="H93" s="18" t="s">
        <v>202</v>
      </c>
      <c r="I93" s="7">
        <v>4.2861660336904279</v>
      </c>
      <c r="J93" s="7">
        <v>4.0534786629832373</v>
      </c>
      <c r="K93" s="7">
        <v>4.0316741758461232</v>
      </c>
      <c r="L93" s="7">
        <v>4.0443033454739385</v>
      </c>
      <c r="M93" s="7">
        <v>4.0705749859865747</v>
      </c>
      <c r="N93" s="7">
        <v>3.9772398395701121</v>
      </c>
      <c r="O93" s="7">
        <v>3.7908835346183585</v>
      </c>
    </row>
    <row r="94" spans="1:15">
      <c r="A94" s="7" t="s">
        <v>32</v>
      </c>
      <c r="B94" s="3" t="s">
        <v>13</v>
      </c>
      <c r="C94" s="1" t="s">
        <v>14</v>
      </c>
      <c r="D94" s="13" t="s">
        <v>99</v>
      </c>
      <c r="E94" s="3" t="str">
        <f>IF($B94="","",VLOOKUP($B94,mapping!$A$5:$B$15,2,0))</f>
        <v>CRF-Bio Fuels</v>
      </c>
      <c r="F94" s="12" t="s">
        <v>14</v>
      </c>
      <c r="G94" s="7" t="s">
        <v>20</v>
      </c>
      <c r="H94" s="18" t="s">
        <v>202</v>
      </c>
      <c r="I94" s="7" t="s">
        <v>263</v>
      </c>
      <c r="J94" s="7">
        <v>2.7886997876069391E-4</v>
      </c>
      <c r="K94" s="7">
        <v>3.0278884595645497E-4</v>
      </c>
      <c r="L94" s="7">
        <v>3.7059865194991629E-4</v>
      </c>
      <c r="M94" s="7">
        <v>4.6915627058223265E-4</v>
      </c>
      <c r="N94" s="7">
        <v>5.1516801578575246E-4</v>
      </c>
      <c r="O94" s="7">
        <v>6.3879045429365887E-4</v>
      </c>
    </row>
    <row r="95" spans="1:15">
      <c r="A95" s="7" t="s">
        <v>32</v>
      </c>
      <c r="B95" s="3" t="s">
        <v>251</v>
      </c>
      <c r="C95" s="1" t="s">
        <v>14</v>
      </c>
      <c r="D95" s="13" t="s">
        <v>99</v>
      </c>
      <c r="E95" s="3" t="str">
        <f>IF($B95="","",VLOOKUP($B95,mapping!$A$5:$B$15,2,0))</f>
        <v>CRF-Liquid Fuels</v>
      </c>
      <c r="F95" s="12" t="s">
        <v>14</v>
      </c>
      <c r="G95" s="7" t="s">
        <v>20</v>
      </c>
      <c r="H95" s="18" t="s">
        <v>202</v>
      </c>
      <c r="I95" s="7">
        <v>0.1332448286201213</v>
      </c>
      <c r="J95" s="7">
        <v>4.0557333768695421E-2</v>
      </c>
      <c r="K95" s="7">
        <v>3.9170462667198126E-2</v>
      </c>
      <c r="L95" s="7">
        <v>3.7198064796329401E-2</v>
      </c>
      <c r="M95" s="7">
        <v>3.6245871280026813E-2</v>
      </c>
      <c r="N95" s="7">
        <v>3.5872354853308745E-2</v>
      </c>
      <c r="O95" s="7">
        <v>3.5302087520308896E-2</v>
      </c>
    </row>
    <row r="96" spans="1:15">
      <c r="A96" s="7" t="s">
        <v>32</v>
      </c>
      <c r="B96" s="3" t="s">
        <v>251</v>
      </c>
      <c r="C96" s="1" t="s">
        <v>15</v>
      </c>
      <c r="D96" s="13" t="s">
        <v>99</v>
      </c>
      <c r="E96" s="3" t="str">
        <f>IF($B96="","",VLOOKUP($B96,mapping!$A$5:$B$15,2,0))</f>
        <v>CRF-Liquid Fuels</v>
      </c>
      <c r="F96" s="12" t="s">
        <v>147</v>
      </c>
      <c r="G96" s="7" t="s">
        <v>20</v>
      </c>
      <c r="H96" s="18" t="s">
        <v>202</v>
      </c>
      <c r="I96" s="7">
        <v>217.6538064183313</v>
      </c>
      <c r="J96" s="7">
        <v>118.39462493559481</v>
      </c>
      <c r="K96" s="7">
        <v>113.68995808580901</v>
      </c>
      <c r="L96" s="7">
        <v>113.30460070906582</v>
      </c>
      <c r="M96" s="7">
        <v>112.8366296633022</v>
      </c>
      <c r="N96" s="7">
        <v>112.40164168818782</v>
      </c>
      <c r="O96" s="7">
        <v>111.33929888273983</v>
      </c>
    </row>
    <row r="97" spans="1:15">
      <c r="A97" s="7" t="s">
        <v>32</v>
      </c>
      <c r="B97" s="3" t="s">
        <v>13</v>
      </c>
      <c r="C97" s="1" t="s">
        <v>16</v>
      </c>
      <c r="D97" s="13" t="s">
        <v>99</v>
      </c>
      <c r="E97" s="3" t="str">
        <f>IF($B97="","",VLOOKUP($B97,mapping!$A$5:$B$15,2,0))</f>
        <v>CRF-Bio Fuels</v>
      </c>
      <c r="F97" s="12" t="s">
        <v>16</v>
      </c>
      <c r="G97" s="7" t="s">
        <v>20</v>
      </c>
      <c r="H97" s="18" t="s">
        <v>202</v>
      </c>
      <c r="I97" s="7" t="s">
        <v>263</v>
      </c>
      <c r="J97" s="7">
        <v>6.5700309009474227E-3</v>
      </c>
      <c r="K97" s="7">
        <v>7.3527663735632031E-3</v>
      </c>
      <c r="L97" s="7">
        <v>1.0494028770240017E-2</v>
      </c>
      <c r="M97" s="7">
        <v>1.4393830149975211E-2</v>
      </c>
      <c r="N97" s="7">
        <v>1.6414955013195235E-2</v>
      </c>
      <c r="O97" s="7">
        <v>2.1239471545687002E-2</v>
      </c>
    </row>
    <row r="98" spans="1:15">
      <c r="A98" s="7" t="s">
        <v>32</v>
      </c>
      <c r="B98" s="3" t="s">
        <v>251</v>
      </c>
      <c r="C98" s="1" t="s">
        <v>16</v>
      </c>
      <c r="D98" s="13" t="s">
        <v>99</v>
      </c>
      <c r="E98" s="3" t="str">
        <f>IF($B98="","",VLOOKUP($B98,mapping!$A$5:$B$15,2,0))</f>
        <v>CRF-Liquid Fuels</v>
      </c>
      <c r="F98" s="12" t="s">
        <v>16</v>
      </c>
      <c r="G98" s="7" t="s">
        <v>20</v>
      </c>
      <c r="H98" s="18" t="s">
        <v>202</v>
      </c>
      <c r="I98" s="7">
        <v>1.6363662269976522</v>
      </c>
      <c r="J98" s="7">
        <v>0.92524711614977129</v>
      </c>
      <c r="K98" s="7">
        <v>0.89084098087090702</v>
      </c>
      <c r="L98" s="7">
        <v>0.8874149879915717</v>
      </c>
      <c r="M98" s="7">
        <v>0.88300619847567274</v>
      </c>
      <c r="N98" s="7">
        <v>0.87859170824187682</v>
      </c>
      <c r="O98" s="7">
        <v>0.86775808734984106</v>
      </c>
    </row>
    <row r="99" spans="1:15">
      <c r="A99" s="7" t="s">
        <v>211</v>
      </c>
      <c r="B99" s="16" t="s">
        <v>149</v>
      </c>
      <c r="C99" s="1" t="s">
        <v>14</v>
      </c>
      <c r="D99" s="13" t="s">
        <v>212</v>
      </c>
      <c r="E99" s="3" t="str">
        <f>IF($B99="","",VLOOKUP($B99,mapping!$A$5:$B$15,2,0))</f>
        <v>CRF-All fuels</v>
      </c>
      <c r="F99" s="12" t="s">
        <v>14</v>
      </c>
      <c r="G99" s="7" t="s">
        <v>20</v>
      </c>
      <c r="H99" s="18" t="s">
        <v>202</v>
      </c>
      <c r="I99" s="7">
        <v>3.9400760000000004</v>
      </c>
      <c r="J99" s="7">
        <v>0.56000000000000005</v>
      </c>
      <c r="K99" s="7">
        <v>0.45847200000000005</v>
      </c>
      <c r="L99" s="7">
        <v>0.47007179993835208</v>
      </c>
      <c r="M99" s="7">
        <v>0.48457154986129197</v>
      </c>
      <c r="N99" s="7">
        <v>0.49907129978423198</v>
      </c>
      <c r="O99" s="7">
        <v>0.54257054955305184</v>
      </c>
    </row>
    <row r="100" spans="1:15">
      <c r="A100" s="7" t="s">
        <v>213</v>
      </c>
      <c r="B100" s="16" t="s">
        <v>149</v>
      </c>
      <c r="C100" s="1" t="s">
        <v>14</v>
      </c>
      <c r="D100" s="13" t="s">
        <v>214</v>
      </c>
      <c r="E100" s="3" t="str">
        <f>IF($B100="","",VLOOKUP($B100,mapping!$A$5:$B$15,2,0))</f>
        <v>CRF-All fuels</v>
      </c>
      <c r="F100" s="12" t="s">
        <v>14</v>
      </c>
      <c r="G100" s="7" t="s">
        <v>20</v>
      </c>
      <c r="H100" s="18" t="s">
        <v>202</v>
      </c>
      <c r="I100" s="7">
        <v>371.75885112799995</v>
      </c>
      <c r="J100" s="7">
        <v>205.86545238000002</v>
      </c>
      <c r="K100" s="7">
        <v>209.118374528</v>
      </c>
      <c r="L100" s="7">
        <v>209.118374528</v>
      </c>
      <c r="M100" s="7">
        <v>209.118374528</v>
      </c>
      <c r="N100" s="7">
        <v>209.118374528</v>
      </c>
      <c r="O100" s="7">
        <v>209.118374528</v>
      </c>
    </row>
    <row r="101" spans="1:15">
      <c r="A101" s="7" t="s">
        <v>213</v>
      </c>
      <c r="B101" s="16" t="s">
        <v>149</v>
      </c>
      <c r="C101" s="1" t="s">
        <v>15</v>
      </c>
      <c r="D101" s="13" t="s">
        <v>214</v>
      </c>
      <c r="E101" s="3" t="str">
        <f>IF($B101="","",VLOOKUP($B101,mapping!$A$5:$B$15,2,0))</f>
        <v>CRF-All fuels</v>
      </c>
      <c r="F101" s="12" t="s">
        <v>147</v>
      </c>
      <c r="G101" s="7" t="s">
        <v>20</v>
      </c>
      <c r="H101" s="18" t="s">
        <v>202</v>
      </c>
      <c r="I101" s="7">
        <v>0.38356063800000001</v>
      </c>
      <c r="J101" s="7">
        <v>0.229209565</v>
      </c>
      <c r="K101" s="7">
        <v>0.17725902000000002</v>
      </c>
      <c r="L101" s="7">
        <v>0.17725902000000002</v>
      </c>
      <c r="M101" s="7">
        <v>0.17725902000000002</v>
      </c>
      <c r="N101" s="7">
        <v>0.17725902000000002</v>
      </c>
      <c r="O101" s="7">
        <v>0.17725902000000002</v>
      </c>
    </row>
    <row r="102" spans="1:15">
      <c r="A102" s="7" t="s">
        <v>226</v>
      </c>
      <c r="B102" s="16" t="s">
        <v>149</v>
      </c>
      <c r="C102" s="1" t="s">
        <v>14</v>
      </c>
      <c r="D102" s="13" t="s">
        <v>227</v>
      </c>
      <c r="E102" s="3" t="str">
        <f>IF($B102="","",VLOOKUP($B102,mapping!$A$5:$B$15,2,0))</f>
        <v>CRF-All fuels</v>
      </c>
      <c r="F102" s="12" t="s">
        <v>14</v>
      </c>
      <c r="G102" s="7" t="s">
        <v>20</v>
      </c>
      <c r="H102" s="18" t="s">
        <v>202</v>
      </c>
      <c r="I102" s="7">
        <v>0.37656724000000003</v>
      </c>
      <c r="J102" s="7">
        <v>3.1998400000000002E-3</v>
      </c>
      <c r="K102" s="7">
        <v>2.6196800000000005E-3</v>
      </c>
      <c r="L102" s="7">
        <v>2.6859645710762972E-3</v>
      </c>
      <c r="M102" s="7">
        <v>2.7688202849216687E-3</v>
      </c>
      <c r="N102" s="7">
        <v>2.8516759987670401E-3</v>
      </c>
      <c r="O102" s="7">
        <v>3.1002431403031531E-3</v>
      </c>
    </row>
    <row r="103" spans="1:15">
      <c r="A103" s="7" t="s">
        <v>226</v>
      </c>
      <c r="B103" s="16" t="s">
        <v>149</v>
      </c>
      <c r="C103" s="1" t="s">
        <v>15</v>
      </c>
      <c r="D103" s="13" t="s">
        <v>227</v>
      </c>
      <c r="E103" s="3" t="str">
        <f>IF($B103="","",VLOOKUP($B103,mapping!$A$5:$B$15,2,0))</f>
        <v>CRF-All fuels</v>
      </c>
      <c r="F103" s="12" t="s">
        <v>147</v>
      </c>
      <c r="G103" s="7" t="s">
        <v>20</v>
      </c>
      <c r="H103" s="18" t="s">
        <v>202</v>
      </c>
      <c r="I103" s="7">
        <v>25.95839754</v>
      </c>
      <c r="J103" s="7">
        <v>26.164672000000003</v>
      </c>
      <c r="K103" s="7">
        <v>19.396581000000001</v>
      </c>
      <c r="L103" s="7">
        <v>19.400664603039523</v>
      </c>
      <c r="M103" s="7">
        <v>19.405769106838925</v>
      </c>
      <c r="N103" s="7">
        <v>19.410873610638326</v>
      </c>
      <c r="O103" s="7">
        <v>19.426187122036534</v>
      </c>
    </row>
    <row r="104" spans="1:15">
      <c r="A104" s="7" t="s">
        <v>226</v>
      </c>
      <c r="B104" s="16" t="s">
        <v>149</v>
      </c>
      <c r="C104" s="1" t="s">
        <v>16</v>
      </c>
      <c r="D104" s="13" t="s">
        <v>227</v>
      </c>
      <c r="E104" s="3" t="str">
        <f>IF($B104="","",VLOOKUP($B104,mapping!$A$5:$B$15,2,0))</f>
        <v>CRF-All fuels</v>
      </c>
      <c r="F104" s="12" t="s">
        <v>16</v>
      </c>
      <c r="G104" s="7" t="s">
        <v>20</v>
      </c>
      <c r="H104" s="18" t="s">
        <v>202</v>
      </c>
      <c r="I104" s="7">
        <v>2.4879579738400003E-2</v>
      </c>
      <c r="J104" s="7">
        <v>2.2713149999999997E-4</v>
      </c>
      <c r="K104" s="7">
        <v>1.859505E-4</v>
      </c>
      <c r="L104" s="7">
        <v>1.9065552089336216E-4</v>
      </c>
      <c r="M104" s="7">
        <v>1.9653679701006486E-4</v>
      </c>
      <c r="N104" s="7">
        <v>2.0241807312676758E-4</v>
      </c>
      <c r="O104" s="7">
        <v>2.2006190147687559E-4</v>
      </c>
    </row>
    <row r="105" spans="1:15">
      <c r="A105" s="7" t="s">
        <v>33</v>
      </c>
      <c r="B105" s="3" t="s">
        <v>87</v>
      </c>
      <c r="C105" s="1" t="s">
        <v>15</v>
      </c>
      <c r="D105" s="13" t="s">
        <v>100</v>
      </c>
      <c r="E105" s="7"/>
      <c r="F105" s="12" t="s">
        <v>147</v>
      </c>
      <c r="G105" s="7" t="s">
        <v>20</v>
      </c>
      <c r="H105" s="18" t="s">
        <v>202</v>
      </c>
      <c r="I105" s="7">
        <v>2580.7894403839</v>
      </c>
      <c r="J105" s="7">
        <v>1679.2466576693002</v>
      </c>
      <c r="K105" s="7">
        <v>1732.243949767</v>
      </c>
      <c r="L105" s="7">
        <v>1776.3166646980001</v>
      </c>
      <c r="M105" s="7">
        <v>1772.3822718050001</v>
      </c>
      <c r="N105" s="7">
        <v>1768.4425113910002</v>
      </c>
      <c r="O105" s="7">
        <v>1754.6587174630001</v>
      </c>
    </row>
    <row r="106" spans="1:15">
      <c r="A106" s="7" t="s">
        <v>34</v>
      </c>
      <c r="B106" s="3" t="s">
        <v>87</v>
      </c>
      <c r="C106" s="1" t="s">
        <v>15</v>
      </c>
      <c r="D106" s="13" t="s">
        <v>101</v>
      </c>
      <c r="E106" s="7"/>
      <c r="F106" s="12" t="s">
        <v>147</v>
      </c>
      <c r="G106" s="7" t="s">
        <v>20</v>
      </c>
      <c r="H106" s="18" t="s">
        <v>202</v>
      </c>
      <c r="I106" s="7">
        <v>53.351683200000004</v>
      </c>
      <c r="J106" s="7">
        <v>47.906599872000001</v>
      </c>
      <c r="K106" s="7">
        <v>52.691114736000003</v>
      </c>
      <c r="L106" s="7">
        <v>46.713626560000002</v>
      </c>
      <c r="M106" s="7">
        <v>46.401826560000003</v>
      </c>
      <c r="N106" s="7">
        <v>46.090026560000005</v>
      </c>
      <c r="O106" s="7">
        <v>46.090026560000005</v>
      </c>
    </row>
    <row r="107" spans="1:15">
      <c r="A107" s="7" t="s">
        <v>35</v>
      </c>
      <c r="B107" s="3" t="s">
        <v>87</v>
      </c>
      <c r="C107" s="1" t="s">
        <v>15</v>
      </c>
      <c r="D107" s="13" t="s">
        <v>102</v>
      </c>
      <c r="E107" s="7"/>
      <c r="F107" s="12" t="s">
        <v>147</v>
      </c>
      <c r="G107" s="7" t="s">
        <v>20</v>
      </c>
      <c r="H107" s="18" t="s">
        <v>202</v>
      </c>
      <c r="I107" s="7">
        <v>15.251405</v>
      </c>
      <c r="J107" s="7">
        <v>5.6176904200000006</v>
      </c>
      <c r="K107" s="7">
        <v>4.8785992949999999</v>
      </c>
      <c r="L107" s="7">
        <v>4.2731145000000001</v>
      </c>
      <c r="M107" s="7">
        <v>4.345792267857143</v>
      </c>
      <c r="N107" s="7">
        <v>4.4072900000000006</v>
      </c>
      <c r="O107" s="7">
        <v>3.9237300000000004</v>
      </c>
    </row>
    <row r="108" spans="1:15">
      <c r="A108" s="7" t="s">
        <v>36</v>
      </c>
      <c r="B108" s="3" t="s">
        <v>87</v>
      </c>
      <c r="C108" s="1" t="s">
        <v>15</v>
      </c>
      <c r="D108" s="13" t="s">
        <v>103</v>
      </c>
      <c r="E108" s="7"/>
      <c r="F108" s="12" t="s">
        <v>147</v>
      </c>
      <c r="G108" s="7" t="s">
        <v>20</v>
      </c>
      <c r="H108" s="18" t="s">
        <v>202</v>
      </c>
      <c r="I108" s="7">
        <v>160.15861392000002</v>
      </c>
      <c r="J108" s="7">
        <v>64.632481620700005</v>
      </c>
      <c r="K108" s="7">
        <v>67.731976579396004</v>
      </c>
      <c r="L108" s="7">
        <v>77.361283874920645</v>
      </c>
      <c r="M108" s="7">
        <v>67.264635154285727</v>
      </c>
      <c r="N108" s="7">
        <v>58.884330840000004</v>
      </c>
      <c r="O108" s="7">
        <v>46.712335840000001</v>
      </c>
    </row>
    <row r="109" spans="1:15">
      <c r="A109" s="7" t="s">
        <v>37</v>
      </c>
      <c r="B109" s="3" t="s">
        <v>87</v>
      </c>
      <c r="C109" s="1" t="s">
        <v>14</v>
      </c>
      <c r="D109" s="13" t="s">
        <v>104</v>
      </c>
      <c r="E109" s="7"/>
      <c r="F109" s="12" t="s">
        <v>14</v>
      </c>
      <c r="G109" s="7" t="s">
        <v>20</v>
      </c>
      <c r="H109" s="18" t="s">
        <v>202</v>
      </c>
      <c r="I109" s="7">
        <v>3.8808000000000002</v>
      </c>
      <c r="J109" s="7">
        <v>7.2091152000000003</v>
      </c>
      <c r="K109" s="7">
        <v>6.8465796000000001</v>
      </c>
      <c r="L109" s="7">
        <v>7.3506300000000007</v>
      </c>
      <c r="M109" s="7">
        <v>7.9109999999999996</v>
      </c>
      <c r="N109" s="7">
        <v>7.5600000000000005</v>
      </c>
      <c r="O109" s="7">
        <v>7.5600000000000005</v>
      </c>
    </row>
    <row r="110" spans="1:15">
      <c r="A110" s="7" t="s">
        <v>37</v>
      </c>
      <c r="B110" s="3" t="s">
        <v>87</v>
      </c>
      <c r="C110" s="1" t="s">
        <v>15</v>
      </c>
      <c r="D110" s="13" t="s">
        <v>104</v>
      </c>
      <c r="E110" s="7"/>
      <c r="F110" s="12" t="s">
        <v>147</v>
      </c>
      <c r="G110" s="7" t="s">
        <v>20</v>
      </c>
      <c r="H110" s="18" t="s">
        <v>202</v>
      </c>
      <c r="I110" s="7">
        <v>15.360000000000001</v>
      </c>
      <c r="J110" s="7">
        <v>18.217512000000003</v>
      </c>
      <c r="K110" s="7">
        <v>17.376117000000001</v>
      </c>
      <c r="L110" s="7">
        <v>19.062908333333336</v>
      </c>
      <c r="M110" s="7">
        <v>21.108214285714283</v>
      </c>
      <c r="N110" s="7">
        <v>20.790000000000003</v>
      </c>
      <c r="O110" s="7">
        <v>20.790000000000003</v>
      </c>
    </row>
    <row r="111" spans="1:15">
      <c r="A111" s="7" t="s">
        <v>38</v>
      </c>
      <c r="B111" s="3" t="s">
        <v>87</v>
      </c>
      <c r="C111" s="1" t="s">
        <v>15</v>
      </c>
      <c r="D111" s="17" t="s">
        <v>150</v>
      </c>
      <c r="E111" s="7"/>
      <c r="F111" s="12" t="s">
        <v>147</v>
      </c>
      <c r="G111" s="7" t="s">
        <v>20</v>
      </c>
      <c r="H111" s="18" t="s">
        <v>202</v>
      </c>
      <c r="I111" s="7">
        <v>94.082300000000004</v>
      </c>
      <c r="J111" s="7">
        <v>98.32914000000001</v>
      </c>
      <c r="K111" s="7">
        <v>116.37060500000001</v>
      </c>
      <c r="L111" s="7">
        <v>111.50592261904761</v>
      </c>
      <c r="M111" s="7">
        <v>105.05357142857143</v>
      </c>
      <c r="N111" s="7">
        <v>96</v>
      </c>
      <c r="O111" s="7">
        <v>96</v>
      </c>
    </row>
    <row r="112" spans="1:15">
      <c r="A112" s="7" t="s">
        <v>39</v>
      </c>
      <c r="B112" s="3" t="s">
        <v>87</v>
      </c>
      <c r="C112" s="1" t="s">
        <v>15</v>
      </c>
      <c r="D112" s="17" t="s">
        <v>151</v>
      </c>
      <c r="E112" s="7"/>
      <c r="F112" s="12" t="s">
        <v>147</v>
      </c>
      <c r="G112" s="7" t="s">
        <v>20</v>
      </c>
      <c r="H112" s="18" t="s">
        <v>202</v>
      </c>
      <c r="I112" s="7">
        <v>17.3419296</v>
      </c>
      <c r="J112" s="7">
        <v>17.6019079808</v>
      </c>
      <c r="K112" s="7">
        <v>17.327783796599999</v>
      </c>
      <c r="L112" s="7">
        <v>16.959919504777776</v>
      </c>
      <c r="M112" s="7">
        <v>17.388851200000001</v>
      </c>
      <c r="N112" s="7">
        <v>17.388851200000001</v>
      </c>
      <c r="O112" s="7">
        <v>17.388851200000001</v>
      </c>
    </row>
    <row r="113" spans="1:16">
      <c r="A113" s="7" t="s">
        <v>39</v>
      </c>
      <c r="B113" s="3" t="s">
        <v>87</v>
      </c>
      <c r="C113" s="1" t="s">
        <v>14</v>
      </c>
      <c r="D113" s="17" t="s">
        <v>151</v>
      </c>
      <c r="E113" s="7"/>
      <c r="F113" s="12" t="s">
        <v>14</v>
      </c>
      <c r="G113" s="7" t="s">
        <v>20</v>
      </c>
      <c r="H113" s="18" t="s">
        <v>202</v>
      </c>
      <c r="I113" s="7">
        <v>0.1008</v>
      </c>
      <c r="J113" s="7" t="s">
        <v>263</v>
      </c>
      <c r="K113" s="7" t="s">
        <v>263</v>
      </c>
      <c r="L113" s="7" t="s">
        <v>263</v>
      </c>
      <c r="M113" s="7" t="s">
        <v>263</v>
      </c>
      <c r="N113" s="7" t="s">
        <v>263</v>
      </c>
      <c r="O113" s="7" t="s">
        <v>263</v>
      </c>
    </row>
    <row r="114" spans="1:16">
      <c r="A114" s="7" t="s">
        <v>39</v>
      </c>
      <c r="B114" s="3" t="s">
        <v>87</v>
      </c>
      <c r="C114" s="1" t="s">
        <v>16</v>
      </c>
      <c r="D114" s="17" t="s">
        <v>151</v>
      </c>
      <c r="E114" s="7"/>
      <c r="F114" s="12" t="s">
        <v>16</v>
      </c>
      <c r="G114" s="7" t="s">
        <v>20</v>
      </c>
      <c r="H114" s="18" t="s">
        <v>202</v>
      </c>
      <c r="I114" s="7">
        <v>384.49645000000004</v>
      </c>
      <c r="J114" s="7">
        <v>510.36604400000004</v>
      </c>
      <c r="K114" s="7">
        <v>389.00374731149998</v>
      </c>
      <c r="L114" s="7">
        <v>7.2763305297222219E-2</v>
      </c>
      <c r="M114" s="7">
        <v>7.0490000000000011E-2</v>
      </c>
      <c r="N114" s="7">
        <v>7.0490000000000011E-2</v>
      </c>
      <c r="O114" s="7">
        <v>7.0490000000000011E-2</v>
      </c>
    </row>
    <row r="115" spans="1:16">
      <c r="A115" s="7" t="s">
        <v>40</v>
      </c>
      <c r="B115" s="3" t="s">
        <v>87</v>
      </c>
      <c r="C115" s="1" t="s">
        <v>16</v>
      </c>
      <c r="D115" s="13" t="s">
        <v>105</v>
      </c>
      <c r="E115" s="7"/>
      <c r="F115" s="12" t="s">
        <v>16</v>
      </c>
      <c r="G115" s="7" t="s">
        <v>20</v>
      </c>
      <c r="H115" s="18" t="s">
        <v>202</v>
      </c>
      <c r="I115" s="7">
        <v>58.241700000000002</v>
      </c>
      <c r="J115" s="7" t="s">
        <v>263</v>
      </c>
      <c r="K115" s="7" t="s">
        <v>263</v>
      </c>
      <c r="L115" s="7" t="s">
        <v>263</v>
      </c>
      <c r="M115" s="7" t="s">
        <v>263</v>
      </c>
      <c r="N115" s="7" t="s">
        <v>263</v>
      </c>
      <c r="O115" s="7" t="s">
        <v>263</v>
      </c>
    </row>
    <row r="116" spans="1:16">
      <c r="A116" s="7" t="s">
        <v>41</v>
      </c>
      <c r="B116" s="3" t="s">
        <v>87</v>
      </c>
      <c r="C116" s="1" t="s">
        <v>15</v>
      </c>
      <c r="D116" s="13" t="s">
        <v>106</v>
      </c>
      <c r="E116" s="7"/>
      <c r="F116" s="12" t="s">
        <v>147</v>
      </c>
      <c r="G116" s="7" t="s">
        <v>20</v>
      </c>
      <c r="H116" s="18" t="s">
        <v>202</v>
      </c>
      <c r="I116" s="7">
        <v>11.9094107</v>
      </c>
      <c r="J116" s="7">
        <v>6.4664097300000005</v>
      </c>
      <c r="K116" s="7">
        <v>7.2940974700000005</v>
      </c>
      <c r="L116" s="7">
        <v>7.382771857142858</v>
      </c>
      <c r="M116" s="7">
        <v>7.5381865000000001</v>
      </c>
      <c r="N116" s="7">
        <v>7.7747640000000002</v>
      </c>
      <c r="O116" s="7">
        <v>7.8122040000000004</v>
      </c>
      <c r="P116" s="38"/>
    </row>
    <row r="117" spans="1:16">
      <c r="A117" s="7" t="s">
        <v>42</v>
      </c>
      <c r="B117" s="3" t="s">
        <v>87</v>
      </c>
      <c r="C117" s="1" t="s">
        <v>15</v>
      </c>
      <c r="D117" s="13" t="s">
        <v>107</v>
      </c>
      <c r="E117" s="7"/>
      <c r="F117" s="12" t="s">
        <v>147</v>
      </c>
      <c r="G117" s="7" t="s">
        <v>20</v>
      </c>
      <c r="H117" s="18" t="s">
        <v>202</v>
      </c>
      <c r="I117" s="7">
        <v>139.25920000000002</v>
      </c>
      <c r="J117" s="7" t="s">
        <v>263</v>
      </c>
      <c r="K117" s="7" t="s">
        <v>263</v>
      </c>
      <c r="L117" s="7" t="s">
        <v>263</v>
      </c>
      <c r="M117" s="7" t="s">
        <v>263</v>
      </c>
      <c r="N117" s="7" t="s">
        <v>263</v>
      </c>
      <c r="O117" s="7" t="s">
        <v>263</v>
      </c>
      <c r="P117" s="38"/>
    </row>
    <row r="118" spans="1:16" s="21" customFormat="1">
      <c r="A118" s="22" t="s">
        <v>42</v>
      </c>
      <c r="B118" s="25" t="s">
        <v>87</v>
      </c>
      <c r="C118" s="53" t="s">
        <v>200</v>
      </c>
      <c r="D118" s="24" t="s">
        <v>157</v>
      </c>
      <c r="E118" s="22"/>
      <c r="F118" s="26" t="s">
        <v>200</v>
      </c>
      <c r="G118" s="22" t="s">
        <v>20</v>
      </c>
      <c r="H118" s="26" t="s">
        <v>202</v>
      </c>
      <c r="I118" s="22">
        <v>104.71334433000001</v>
      </c>
      <c r="J118" s="7" t="s">
        <v>263</v>
      </c>
      <c r="K118" s="7" t="s">
        <v>263</v>
      </c>
      <c r="L118" s="7" t="s">
        <v>263</v>
      </c>
      <c r="M118" s="7" t="s">
        <v>263</v>
      </c>
      <c r="N118" s="7" t="s">
        <v>263</v>
      </c>
      <c r="O118" s="7" t="s">
        <v>263</v>
      </c>
      <c r="P118" s="38"/>
    </row>
    <row r="119" spans="1:16">
      <c r="A119" s="7" t="s">
        <v>43</v>
      </c>
      <c r="B119" s="3" t="s">
        <v>87</v>
      </c>
      <c r="C119" s="1" t="s">
        <v>88</v>
      </c>
      <c r="D119" s="13" t="s">
        <v>108</v>
      </c>
      <c r="E119" s="7"/>
      <c r="F119" s="12" t="s">
        <v>88</v>
      </c>
      <c r="G119" s="7" t="s">
        <v>20</v>
      </c>
      <c r="H119" s="18" t="s">
        <v>202</v>
      </c>
      <c r="I119" s="7" t="s">
        <v>263</v>
      </c>
      <c r="J119" s="7" t="s">
        <v>263</v>
      </c>
      <c r="K119" s="7" t="s">
        <v>263</v>
      </c>
      <c r="L119" s="7" t="s">
        <v>263</v>
      </c>
      <c r="M119" s="7" t="s">
        <v>263</v>
      </c>
      <c r="N119" s="7" t="s">
        <v>263</v>
      </c>
      <c r="O119" s="7" t="s">
        <v>263</v>
      </c>
      <c r="P119" s="38"/>
    </row>
    <row r="120" spans="1:16">
      <c r="A120" s="7" t="s">
        <v>44</v>
      </c>
      <c r="B120" s="3" t="s">
        <v>87</v>
      </c>
      <c r="C120" s="1" t="s">
        <v>15</v>
      </c>
      <c r="D120" s="13" t="s">
        <v>109</v>
      </c>
      <c r="E120" s="7"/>
      <c r="F120" s="12" t="s">
        <v>147</v>
      </c>
      <c r="G120" s="7" t="s">
        <v>20</v>
      </c>
      <c r="H120" s="18" t="s">
        <v>202</v>
      </c>
      <c r="I120" s="7" t="s">
        <v>263</v>
      </c>
      <c r="J120" s="7">
        <v>1.4658690000000001</v>
      </c>
      <c r="K120" s="7">
        <v>1.4763000000000002</v>
      </c>
      <c r="L120" s="7">
        <v>1.5801666666666669</v>
      </c>
      <c r="M120" s="7">
        <v>1.7100000000000002</v>
      </c>
      <c r="N120" s="7">
        <v>1.7100000000000002</v>
      </c>
      <c r="O120" s="7">
        <v>1.7100000000000002</v>
      </c>
      <c r="P120" s="38"/>
    </row>
    <row r="121" spans="1:16" s="38" customFormat="1">
      <c r="A121" s="32" t="s">
        <v>235</v>
      </c>
      <c r="B121" s="4" t="s">
        <v>87</v>
      </c>
      <c r="C121" s="2" t="s">
        <v>15</v>
      </c>
      <c r="D121" s="72" t="s">
        <v>238</v>
      </c>
      <c r="E121" s="32"/>
      <c r="F121" s="18" t="s">
        <v>147</v>
      </c>
      <c r="G121" s="32" t="s">
        <v>20</v>
      </c>
      <c r="H121" s="18" t="s">
        <v>202</v>
      </c>
      <c r="I121" s="7">
        <v>48.241228073364546</v>
      </c>
      <c r="J121" s="7">
        <v>23.904952103224023</v>
      </c>
      <c r="K121" s="7">
        <v>25.340336974642987</v>
      </c>
      <c r="L121" s="7">
        <v>27.525820139661921</v>
      </c>
      <c r="M121" s="7">
        <v>30.257674095935574</v>
      </c>
      <c r="N121" s="7">
        <v>30.202357014279546</v>
      </c>
      <c r="O121" s="7">
        <v>30.069070867622649</v>
      </c>
    </row>
    <row r="122" spans="1:16" s="38" customFormat="1">
      <c r="A122" s="32" t="s">
        <v>236</v>
      </c>
      <c r="B122" s="4"/>
      <c r="C122" s="2" t="s">
        <v>15</v>
      </c>
      <c r="D122" s="72" t="s">
        <v>239</v>
      </c>
      <c r="E122" s="32"/>
      <c r="F122" s="18" t="s">
        <v>147</v>
      </c>
      <c r="G122" s="32" t="s">
        <v>20</v>
      </c>
      <c r="H122" s="18" t="s">
        <v>202</v>
      </c>
      <c r="I122" s="7">
        <v>6.3222808000000006</v>
      </c>
      <c r="J122" s="7">
        <v>1.9356568000000001</v>
      </c>
      <c r="K122" s="7">
        <v>2.2947232</v>
      </c>
      <c r="L122" s="7">
        <v>2.3230240000000002</v>
      </c>
      <c r="M122" s="7">
        <v>2.3584000000000001</v>
      </c>
      <c r="N122" s="7">
        <v>2.3584000000000001</v>
      </c>
      <c r="O122" s="7">
        <v>2.3584000000000001</v>
      </c>
    </row>
    <row r="123" spans="1:16">
      <c r="A123" s="57" t="s">
        <v>237</v>
      </c>
      <c r="B123" s="58"/>
      <c r="C123" s="27" t="s">
        <v>15</v>
      </c>
      <c r="D123" s="20" t="s">
        <v>240</v>
      </c>
      <c r="E123" s="57"/>
      <c r="F123" s="19" t="s">
        <v>147</v>
      </c>
      <c r="G123" s="57" t="s">
        <v>20</v>
      </c>
      <c r="H123" s="19" t="s">
        <v>202</v>
      </c>
      <c r="I123" s="57">
        <f>EM_2D_2G_check!I24</f>
        <v>3.6488769270172412</v>
      </c>
      <c r="J123" s="57">
        <f>EM_2D_2G_check!J24</f>
        <v>24.662063975654696</v>
      </c>
      <c r="K123" s="57">
        <f>EM_2D_2G_check!K24</f>
        <v>25.074467971854695</v>
      </c>
      <c r="L123" s="57">
        <f>EM_2D_2G_check!L24</f>
        <v>15.931928208294694</v>
      </c>
      <c r="M123" s="57">
        <f>EM_2D_2G_check!M24</f>
        <v>15.931928208294694</v>
      </c>
      <c r="N123" s="57">
        <f>EM_2D_2G_check!N24</f>
        <v>15.931928208294694</v>
      </c>
      <c r="O123" s="57">
        <f>EM_2D_2G_check!O24</f>
        <v>15.931928208294694</v>
      </c>
    </row>
    <row r="124" spans="1:16" s="21" customFormat="1">
      <c r="A124" s="22" t="s">
        <v>46</v>
      </c>
      <c r="B124" s="25" t="s">
        <v>87</v>
      </c>
      <c r="C124" s="23" t="s">
        <v>201</v>
      </c>
      <c r="D124" s="24" t="s">
        <v>111</v>
      </c>
      <c r="E124" s="22"/>
      <c r="F124" s="26" t="s">
        <v>201</v>
      </c>
      <c r="G124" s="22" t="s">
        <v>20</v>
      </c>
      <c r="H124" s="26" t="s">
        <v>202</v>
      </c>
      <c r="I124" s="7" t="s">
        <v>263</v>
      </c>
      <c r="J124" s="22">
        <v>0.74410661520000043</v>
      </c>
      <c r="K124" s="7" t="s">
        <v>263</v>
      </c>
      <c r="L124" s="7" t="s">
        <v>263</v>
      </c>
      <c r="M124" s="7" t="s">
        <v>263</v>
      </c>
      <c r="N124" s="7" t="s">
        <v>263</v>
      </c>
      <c r="O124" s="7" t="s">
        <v>263</v>
      </c>
    </row>
    <row r="125" spans="1:16" s="21" customFormat="1">
      <c r="A125" s="22" t="s">
        <v>46</v>
      </c>
      <c r="B125" s="25" t="s">
        <v>87</v>
      </c>
      <c r="C125" s="23" t="s">
        <v>200</v>
      </c>
      <c r="D125" s="24" t="s">
        <v>111</v>
      </c>
      <c r="E125" s="22"/>
      <c r="F125" s="26" t="s">
        <v>200</v>
      </c>
      <c r="G125" s="22" t="s">
        <v>20</v>
      </c>
      <c r="H125" s="26" t="s">
        <v>202</v>
      </c>
      <c r="I125" s="7" t="s">
        <v>263</v>
      </c>
      <c r="J125" s="22">
        <v>11.319602645300991</v>
      </c>
      <c r="K125" s="22">
        <v>4.3334220928050007</v>
      </c>
      <c r="L125" s="7">
        <v>4.3334220928050007</v>
      </c>
      <c r="M125" s="7">
        <v>4.3334220928050007</v>
      </c>
      <c r="N125" s="7">
        <v>4.3334220928050007</v>
      </c>
      <c r="O125" s="7">
        <v>4.3334220928050007</v>
      </c>
    </row>
    <row r="126" spans="1:16">
      <c r="A126" s="7" t="s">
        <v>46</v>
      </c>
      <c r="B126" s="3" t="s">
        <v>87</v>
      </c>
      <c r="C126" s="1" t="s">
        <v>88</v>
      </c>
      <c r="D126" s="13" t="s">
        <v>111</v>
      </c>
      <c r="E126" s="7"/>
      <c r="F126" s="12" t="s">
        <v>88</v>
      </c>
      <c r="G126" s="7" t="s">
        <v>20</v>
      </c>
      <c r="H126" s="18" t="s">
        <v>202</v>
      </c>
      <c r="I126" s="7" t="s">
        <v>263</v>
      </c>
      <c r="J126" s="7">
        <v>10.626288750000001</v>
      </c>
      <c r="K126" s="7">
        <v>3.5851074187500007</v>
      </c>
      <c r="L126" s="7">
        <v>3.5851074187500007</v>
      </c>
      <c r="M126" s="7">
        <v>3.5851074187500007</v>
      </c>
      <c r="N126" s="7">
        <v>3.5851074187500007</v>
      </c>
      <c r="O126" s="7">
        <v>3.5851074187500007</v>
      </c>
    </row>
    <row r="127" spans="1:16">
      <c r="A127" s="7" t="s">
        <v>47</v>
      </c>
      <c r="B127" s="3" t="s">
        <v>87</v>
      </c>
      <c r="C127" s="1" t="s">
        <v>89</v>
      </c>
      <c r="D127" s="13" t="s">
        <v>112</v>
      </c>
      <c r="E127" s="7"/>
      <c r="F127" s="12" t="s">
        <v>89</v>
      </c>
      <c r="G127" s="7" t="s">
        <v>20</v>
      </c>
      <c r="H127" s="18" t="s">
        <v>202</v>
      </c>
      <c r="I127" s="7" t="s">
        <v>263</v>
      </c>
      <c r="J127" s="7">
        <v>0.385687575</v>
      </c>
      <c r="K127" s="7">
        <v>0.37000577250000011</v>
      </c>
      <c r="L127" s="7">
        <v>0.37000577250000011</v>
      </c>
      <c r="M127" s="7">
        <v>0.37000577250000011</v>
      </c>
      <c r="N127" s="7">
        <v>0.37000577250000011</v>
      </c>
      <c r="O127" s="7">
        <v>0.37000577250000011</v>
      </c>
    </row>
    <row r="128" spans="1:16" s="21" customFormat="1">
      <c r="A128" s="22" t="s">
        <v>48</v>
      </c>
      <c r="B128" s="25" t="s">
        <v>87</v>
      </c>
      <c r="C128" s="23" t="s">
        <v>200</v>
      </c>
      <c r="D128" s="24" t="s">
        <v>143</v>
      </c>
      <c r="E128" s="22"/>
      <c r="F128" s="26" t="s">
        <v>200</v>
      </c>
      <c r="G128" s="22" t="s">
        <v>20</v>
      </c>
      <c r="H128" s="26" t="s">
        <v>202</v>
      </c>
      <c r="I128" s="7" t="s">
        <v>263</v>
      </c>
      <c r="J128" s="22">
        <v>6.3264595275000002E-2</v>
      </c>
      <c r="K128" s="22">
        <v>4.3381406250000004E-3</v>
      </c>
      <c r="L128" s="7">
        <v>4.3381406250000004E-3</v>
      </c>
      <c r="M128" s="7">
        <v>4.3381406250000004E-3</v>
      </c>
      <c r="N128" s="7">
        <v>4.3381406250000004E-3</v>
      </c>
      <c r="O128" s="7">
        <v>4.3381406250000004E-3</v>
      </c>
    </row>
    <row r="129" spans="1:16" s="21" customFormat="1">
      <c r="A129" s="22" t="s">
        <v>49</v>
      </c>
      <c r="B129" s="25" t="s">
        <v>87</v>
      </c>
      <c r="C129" s="23" t="s">
        <v>201</v>
      </c>
      <c r="D129" s="24" t="s">
        <v>113</v>
      </c>
      <c r="E129" s="22"/>
      <c r="F129" s="26" t="s">
        <v>201</v>
      </c>
      <c r="G129" s="22" t="s">
        <v>20</v>
      </c>
      <c r="H129" s="26" t="s">
        <v>202</v>
      </c>
      <c r="I129" s="22">
        <v>2.2528355200000006E-2</v>
      </c>
      <c r="J129" s="22">
        <v>1285.5325751569583</v>
      </c>
      <c r="K129" s="22">
        <v>1195.1574573998148</v>
      </c>
      <c r="L129" s="7">
        <v>1017.6669500603535</v>
      </c>
      <c r="M129" s="7">
        <v>684.61678495767092</v>
      </c>
      <c r="N129" s="7">
        <v>517.36402572778718</v>
      </c>
      <c r="O129" s="7">
        <v>442.14347887071352</v>
      </c>
    </row>
    <row r="130" spans="1:16" s="21" customFormat="1">
      <c r="A130" s="22" t="s">
        <v>49</v>
      </c>
      <c r="B130" s="25" t="s">
        <v>87</v>
      </c>
      <c r="C130" s="23" t="s">
        <v>200</v>
      </c>
      <c r="D130" s="24" t="s">
        <v>113</v>
      </c>
      <c r="E130" s="22"/>
      <c r="F130" s="26" t="s">
        <v>200</v>
      </c>
      <c r="G130" s="22" t="s">
        <v>20</v>
      </c>
      <c r="H130" s="26" t="s">
        <v>202</v>
      </c>
      <c r="I130" s="22">
        <v>5.4076458384000006E-2</v>
      </c>
      <c r="J130" s="22">
        <v>1.2334542193671223</v>
      </c>
      <c r="K130" s="22">
        <v>1.4764066851740147</v>
      </c>
      <c r="L130" s="7">
        <v>1.8906342187514118</v>
      </c>
      <c r="M130" s="7">
        <v>3.6873394135731785</v>
      </c>
      <c r="N130" s="7">
        <v>6.233440894303822</v>
      </c>
      <c r="O130" s="7">
        <v>12.151297449595283</v>
      </c>
    </row>
    <row r="131" spans="1:16" s="21" customFormat="1">
      <c r="A131" s="22" t="s">
        <v>50</v>
      </c>
      <c r="B131" s="25" t="s">
        <v>87</v>
      </c>
      <c r="C131" s="23" t="s">
        <v>201</v>
      </c>
      <c r="D131" s="24" t="s">
        <v>114</v>
      </c>
      <c r="E131" s="22"/>
      <c r="F131" s="26" t="s">
        <v>201</v>
      </c>
      <c r="G131" s="22" t="s">
        <v>20</v>
      </c>
      <c r="H131" s="26" t="s">
        <v>202</v>
      </c>
      <c r="I131" s="7" t="s">
        <v>263</v>
      </c>
      <c r="J131" s="22">
        <v>22.838590620276698</v>
      </c>
      <c r="K131" s="22">
        <v>22.623010598413199</v>
      </c>
      <c r="L131" s="7">
        <v>75.329778053017208</v>
      </c>
      <c r="M131" s="7">
        <v>11.433357724369884</v>
      </c>
      <c r="N131" s="7">
        <v>15.80715835774828</v>
      </c>
      <c r="O131" s="7">
        <v>9.3621617737409171</v>
      </c>
    </row>
    <row r="132" spans="1:16" s="21" customFormat="1">
      <c r="A132" s="22" t="s">
        <v>51</v>
      </c>
      <c r="B132" s="25" t="s">
        <v>87</v>
      </c>
      <c r="C132" s="23" t="s">
        <v>201</v>
      </c>
      <c r="D132" s="24" t="s">
        <v>115</v>
      </c>
      <c r="E132" s="22"/>
      <c r="F132" s="26" t="s">
        <v>201</v>
      </c>
      <c r="G132" s="22" t="s">
        <v>20</v>
      </c>
      <c r="H132" s="26" t="s">
        <v>202</v>
      </c>
      <c r="I132" s="7" t="s">
        <v>263</v>
      </c>
      <c r="J132" s="22">
        <v>6.2731682000000006</v>
      </c>
      <c r="K132" s="22">
        <v>5.9283081000000006</v>
      </c>
      <c r="L132" s="7" t="s">
        <v>263</v>
      </c>
      <c r="M132" s="7" t="s">
        <v>263</v>
      </c>
      <c r="N132" s="7" t="s">
        <v>263</v>
      </c>
      <c r="O132" s="7" t="s">
        <v>263</v>
      </c>
    </row>
    <row r="133" spans="1:16" s="21" customFormat="1">
      <c r="A133" s="22" t="s">
        <v>52</v>
      </c>
      <c r="B133" s="25" t="s">
        <v>87</v>
      </c>
      <c r="C133" s="23" t="s">
        <v>201</v>
      </c>
      <c r="D133" s="24" t="s">
        <v>116</v>
      </c>
      <c r="E133" s="22"/>
      <c r="F133" s="26" t="s">
        <v>201</v>
      </c>
      <c r="G133" s="22" t="s">
        <v>20</v>
      </c>
      <c r="H133" s="26" t="s">
        <v>202</v>
      </c>
      <c r="I133" s="7" t="s">
        <v>263</v>
      </c>
      <c r="J133" s="22">
        <v>0.1650685117897662</v>
      </c>
      <c r="K133" s="22">
        <v>2.3820341826108631E-2</v>
      </c>
      <c r="L133" s="7">
        <v>4.5997901457313084E-2</v>
      </c>
      <c r="M133" s="7">
        <v>4.5997901457313084E-2</v>
      </c>
      <c r="N133" s="7">
        <v>4.5997901457313084E-2</v>
      </c>
      <c r="O133" s="7">
        <v>4.5997901457313084E-2</v>
      </c>
    </row>
    <row r="134" spans="1:16">
      <c r="A134" s="57" t="s">
        <v>216</v>
      </c>
      <c r="B134" s="58" t="s">
        <v>87</v>
      </c>
      <c r="C134" s="27" t="s">
        <v>15</v>
      </c>
      <c r="D134" s="20" t="s">
        <v>117</v>
      </c>
      <c r="E134" s="57"/>
      <c r="F134" s="19" t="s">
        <v>147</v>
      </c>
      <c r="G134" s="57" t="s">
        <v>20</v>
      </c>
      <c r="H134" s="19" t="s">
        <v>202</v>
      </c>
      <c r="I134" s="57">
        <f>EM_2D_2G_check!I16</f>
        <v>6.0685655910155702</v>
      </c>
      <c r="J134" s="57">
        <f>EM_2D_2G_check!J16</f>
        <v>31.760630328146391</v>
      </c>
      <c r="K134" s="57">
        <f>EM_2D_2G_check!K16</f>
        <v>31.760630328146391</v>
      </c>
      <c r="L134" s="57">
        <f>EM_2D_2G_check!L16</f>
        <v>31.772338613860676</v>
      </c>
      <c r="M134" s="57">
        <f>EM_2D_2G_check!M16</f>
        <v>31.786973971003533</v>
      </c>
      <c r="N134" s="57">
        <f>EM_2D_2G_check!N16</f>
        <v>31.801609328146391</v>
      </c>
      <c r="O134" s="57">
        <f>EM_2D_2G_check!O16</f>
        <v>31.801609328146391</v>
      </c>
      <c r="P134" s="40"/>
    </row>
    <row r="135" spans="1:16" s="21" customFormat="1">
      <c r="A135" s="22" t="s">
        <v>53</v>
      </c>
      <c r="B135" s="25" t="s">
        <v>87</v>
      </c>
      <c r="C135" s="23" t="s">
        <v>201</v>
      </c>
      <c r="D135" s="24" t="s">
        <v>117</v>
      </c>
      <c r="E135" s="22"/>
      <c r="F135" s="26" t="s">
        <v>201</v>
      </c>
      <c r="G135" s="22" t="s">
        <v>20</v>
      </c>
      <c r="H135" s="26" t="s">
        <v>202</v>
      </c>
      <c r="I135" s="7" t="s">
        <v>263</v>
      </c>
      <c r="J135" s="22">
        <v>7.1461000000000006</v>
      </c>
      <c r="K135" s="22">
        <v>17.748367000000002</v>
      </c>
      <c r="L135" s="7">
        <v>17.748367000000002</v>
      </c>
      <c r="M135" s="7">
        <v>17.748367000000002</v>
      </c>
      <c r="N135" s="7">
        <v>17.748367000000002</v>
      </c>
      <c r="O135" s="7">
        <v>17.748367000000002</v>
      </c>
      <c r="P135" s="40"/>
    </row>
    <row r="136" spans="1:16" s="21" customFormat="1">
      <c r="A136" s="22" t="s">
        <v>53</v>
      </c>
      <c r="B136" s="25" t="s">
        <v>87</v>
      </c>
      <c r="C136" s="23" t="s">
        <v>200</v>
      </c>
      <c r="D136" s="24" t="s">
        <v>117</v>
      </c>
      <c r="E136" s="22"/>
      <c r="F136" s="26" t="s">
        <v>200</v>
      </c>
      <c r="G136" s="22" t="s">
        <v>20</v>
      </c>
      <c r="H136" s="26" t="s">
        <v>202</v>
      </c>
      <c r="I136" s="7" t="s">
        <v>263</v>
      </c>
      <c r="J136" s="22">
        <v>21.819867438017035</v>
      </c>
      <c r="K136" s="22">
        <v>22.551793796637835</v>
      </c>
      <c r="L136" s="7">
        <v>21.477666053881656</v>
      </c>
      <c r="M136" s="7">
        <v>21.312482547191699</v>
      </c>
      <c r="N136" s="7">
        <v>21.235482674833374</v>
      </c>
      <c r="O136" s="7">
        <v>21.175058433271591</v>
      </c>
      <c r="P136" s="40"/>
    </row>
    <row r="137" spans="1:16">
      <c r="A137" s="7" t="s">
        <v>53</v>
      </c>
      <c r="B137" s="3" t="s">
        <v>87</v>
      </c>
      <c r="C137" s="1" t="s">
        <v>88</v>
      </c>
      <c r="D137" s="13" t="s">
        <v>117</v>
      </c>
      <c r="E137" s="7"/>
      <c r="F137" s="12" t="s">
        <v>88</v>
      </c>
      <c r="G137" s="7" t="s">
        <v>20</v>
      </c>
      <c r="H137" s="18" t="s">
        <v>202</v>
      </c>
      <c r="I137" s="7">
        <v>141.21258018658199</v>
      </c>
      <c r="J137" s="7">
        <v>145.20986911940699</v>
      </c>
      <c r="K137" s="7">
        <v>125.44244192068332</v>
      </c>
      <c r="L137" s="7">
        <v>70.611743631564536</v>
      </c>
      <c r="M137" s="7">
        <v>80.036706262624719</v>
      </c>
      <c r="N137" s="7">
        <v>63.549499523002439</v>
      </c>
      <c r="O137" s="7">
        <v>62.635047168429246</v>
      </c>
      <c r="P137" s="40"/>
    </row>
    <row r="138" spans="1:16">
      <c r="A138" s="7" t="s">
        <v>215</v>
      </c>
      <c r="B138" s="3" t="s">
        <v>87</v>
      </c>
      <c r="C138" s="1" t="s">
        <v>16</v>
      </c>
      <c r="D138" s="13" t="s">
        <v>217</v>
      </c>
      <c r="E138" s="7"/>
      <c r="F138" s="12" t="s">
        <v>16</v>
      </c>
      <c r="G138" s="7" t="s">
        <v>20</v>
      </c>
      <c r="H138" s="18" t="s">
        <v>202</v>
      </c>
      <c r="I138" s="7">
        <v>92.49136</v>
      </c>
      <c r="J138" s="7">
        <v>27.850351666666665</v>
      </c>
      <c r="K138" s="7">
        <v>28.11763361111111</v>
      </c>
      <c r="L138" s="7">
        <v>29.350825833333335</v>
      </c>
      <c r="M138" s="7">
        <v>30.841023888888891</v>
      </c>
      <c r="N138" s="7">
        <v>32.227312500000004</v>
      </c>
      <c r="O138" s="7">
        <v>34.519562499999999</v>
      </c>
      <c r="P138" s="40"/>
    </row>
    <row r="139" spans="1:16">
      <c r="A139" s="7" t="s">
        <v>216</v>
      </c>
      <c r="B139" s="3"/>
      <c r="C139" s="5" t="s">
        <v>16</v>
      </c>
      <c r="D139" s="71" t="s">
        <v>249</v>
      </c>
      <c r="E139" s="7"/>
      <c r="F139" s="12" t="s">
        <v>16</v>
      </c>
      <c r="G139" s="7" t="s">
        <v>20</v>
      </c>
      <c r="H139" s="18" t="s">
        <v>202</v>
      </c>
      <c r="I139" s="73">
        <v>5.3084137500000006</v>
      </c>
      <c r="J139" s="73">
        <v>6.5367703170000011</v>
      </c>
      <c r="K139" s="73">
        <v>8.0451837154800003</v>
      </c>
      <c r="L139" s="73">
        <v>7.4310875999999997</v>
      </c>
      <c r="M139" s="73">
        <v>7.4310875999999997</v>
      </c>
      <c r="N139" s="73">
        <v>7.4310875999999997</v>
      </c>
      <c r="O139" s="73">
        <v>7.4310875999999997</v>
      </c>
      <c r="P139" s="40"/>
    </row>
    <row r="140" spans="1:16">
      <c r="A140" s="68" t="s">
        <v>247</v>
      </c>
      <c r="B140" s="3" t="s">
        <v>87</v>
      </c>
      <c r="C140" s="1" t="s">
        <v>15</v>
      </c>
      <c r="D140" s="13" t="s">
        <v>248</v>
      </c>
      <c r="E140" s="7"/>
      <c r="F140" s="12" t="s">
        <v>147</v>
      </c>
      <c r="G140" s="7" t="s">
        <v>20</v>
      </c>
      <c r="H140" s="18" t="s">
        <v>202</v>
      </c>
      <c r="I140" s="7">
        <v>1.04</v>
      </c>
      <c r="J140" s="7">
        <v>0.25280000000000002</v>
      </c>
      <c r="K140" s="7">
        <v>0.24280000000000002</v>
      </c>
      <c r="L140" s="7">
        <v>0.40200000000000002</v>
      </c>
      <c r="M140" s="7">
        <v>0.60100000000000009</v>
      </c>
      <c r="N140" s="7">
        <v>0.8</v>
      </c>
      <c r="O140" s="7">
        <v>0.8</v>
      </c>
    </row>
    <row r="141" spans="1:16">
      <c r="A141" s="7" t="s">
        <v>55</v>
      </c>
      <c r="B141" s="3" t="s">
        <v>87</v>
      </c>
      <c r="C141" s="1" t="s">
        <v>14</v>
      </c>
      <c r="D141" s="13" t="s">
        <v>140</v>
      </c>
      <c r="E141" s="7"/>
      <c r="F141" s="12" t="s">
        <v>14</v>
      </c>
      <c r="G141" s="7" t="s">
        <v>20</v>
      </c>
      <c r="H141" s="18" t="s">
        <v>202</v>
      </c>
      <c r="I141" s="7">
        <v>3930.2842949081669</v>
      </c>
      <c r="J141" s="7">
        <v>3614.1476350912194</v>
      </c>
      <c r="K141" s="7">
        <v>3630.5744182375452</v>
      </c>
      <c r="L141" s="7">
        <v>3612.6810101682736</v>
      </c>
      <c r="M141" s="7">
        <v>3602.6200572368271</v>
      </c>
      <c r="N141" s="7">
        <v>3602.6200572368271</v>
      </c>
      <c r="O141" s="7">
        <v>3602.6200572368271</v>
      </c>
    </row>
    <row r="142" spans="1:16">
      <c r="A142" s="41" t="s">
        <v>190</v>
      </c>
      <c r="B142" s="3" t="s">
        <v>87</v>
      </c>
      <c r="C142" s="1" t="s">
        <v>14</v>
      </c>
      <c r="D142" s="13" t="s">
        <v>118</v>
      </c>
      <c r="E142" s="7"/>
      <c r="F142" s="12" t="s">
        <v>14</v>
      </c>
      <c r="G142" s="7" t="s">
        <v>20</v>
      </c>
      <c r="H142" s="18" t="s">
        <v>202</v>
      </c>
      <c r="I142" s="7">
        <v>776.11565904315751</v>
      </c>
      <c r="J142" s="7">
        <v>618.18807095014949</v>
      </c>
      <c r="K142" s="7">
        <v>617.9633874172398</v>
      </c>
      <c r="L142" s="7">
        <v>596.97151479398588</v>
      </c>
      <c r="M142" s="7">
        <v>597.23715094801207</v>
      </c>
      <c r="N142" s="7">
        <v>597.23715094801207</v>
      </c>
      <c r="O142" s="7">
        <v>597.23715094801207</v>
      </c>
      <c r="P142" t="s">
        <v>199</v>
      </c>
    </row>
    <row r="143" spans="1:16" s="46" customFormat="1">
      <c r="A143" s="41" t="s">
        <v>190</v>
      </c>
      <c r="B143" s="44" t="s">
        <v>87</v>
      </c>
      <c r="C143" s="42" t="s">
        <v>16</v>
      </c>
      <c r="D143" s="43" t="s">
        <v>118</v>
      </c>
      <c r="E143" s="41"/>
      <c r="F143" s="45" t="s">
        <v>16</v>
      </c>
      <c r="G143" s="41" t="s">
        <v>20</v>
      </c>
      <c r="H143" s="45" t="s">
        <v>202</v>
      </c>
      <c r="I143" s="41">
        <f>EM_3B_N2O!I29</f>
        <v>168.14547875721772</v>
      </c>
      <c r="J143" s="41">
        <f>EM_3B_N2O!J29</f>
        <v>108.13297714426959</v>
      </c>
      <c r="K143" s="41">
        <f>EM_3B_N2O!K29</f>
        <v>107.48725978793662</v>
      </c>
      <c r="L143" s="41">
        <f>EM_3B_N2O!L29</f>
        <v>106.25834617080899</v>
      </c>
      <c r="M143" s="41">
        <f>EM_3B_N2O!M29</f>
        <v>105.64277006667763</v>
      </c>
      <c r="N143" s="41">
        <f>EM_3B_N2O!N29</f>
        <v>105.64277006667763</v>
      </c>
      <c r="O143" s="41">
        <f>EM_3B_N2O!O29</f>
        <v>105.64277006667763</v>
      </c>
    </row>
    <row r="144" spans="1:16">
      <c r="A144" s="7" t="s">
        <v>56</v>
      </c>
      <c r="B144" s="3" t="s">
        <v>87</v>
      </c>
      <c r="C144" s="1" t="s">
        <v>16</v>
      </c>
      <c r="D144" s="13" t="s">
        <v>119</v>
      </c>
      <c r="E144" s="7"/>
      <c r="F144" s="12" t="s">
        <v>16</v>
      </c>
      <c r="G144" s="7" t="s">
        <v>20</v>
      </c>
      <c r="H144" s="18" t="s">
        <v>202</v>
      </c>
      <c r="I144" s="7">
        <v>208.60003320686107</v>
      </c>
      <c r="J144" s="7">
        <v>231.19400647428569</v>
      </c>
      <c r="K144" s="7">
        <v>232.26163057948366</v>
      </c>
      <c r="L144" s="7">
        <v>229.44944548875077</v>
      </c>
      <c r="M144" s="7">
        <v>228.71619402882644</v>
      </c>
      <c r="N144" s="7">
        <v>228.71619402882644</v>
      </c>
      <c r="O144" s="7">
        <v>228.71619402882644</v>
      </c>
    </row>
    <row r="145" spans="1:18">
      <c r="A145" s="7" t="s">
        <v>57</v>
      </c>
      <c r="B145" s="3" t="s">
        <v>87</v>
      </c>
      <c r="C145" s="1" t="s">
        <v>16</v>
      </c>
      <c r="D145" s="13" t="s">
        <v>120</v>
      </c>
      <c r="E145" s="7"/>
      <c r="F145" s="12" t="s">
        <v>16</v>
      </c>
      <c r="G145" s="7" t="s">
        <v>20</v>
      </c>
      <c r="H145" s="18" t="s">
        <v>202</v>
      </c>
      <c r="I145" s="7">
        <v>1073.3568163535599</v>
      </c>
      <c r="J145" s="7">
        <v>840.26229794094081</v>
      </c>
      <c r="K145" s="7">
        <v>855.84149287180071</v>
      </c>
      <c r="L145" s="7">
        <v>980.95996500014883</v>
      </c>
      <c r="M145" s="7">
        <v>974.84246893749503</v>
      </c>
      <c r="N145" s="7">
        <v>974.84246893749503</v>
      </c>
      <c r="O145" s="7">
        <v>974.84246893749503</v>
      </c>
    </row>
    <row r="146" spans="1:18">
      <c r="A146" s="7" t="s">
        <v>58</v>
      </c>
      <c r="B146" s="3" t="s">
        <v>87</v>
      </c>
      <c r="C146" s="1" t="s">
        <v>16</v>
      </c>
      <c r="D146" s="13" t="s">
        <v>121</v>
      </c>
      <c r="E146" s="7"/>
      <c r="F146" s="12" t="s">
        <v>16</v>
      </c>
      <c r="G146" s="7" t="s">
        <v>20</v>
      </c>
      <c r="H146" s="18" t="s">
        <v>202</v>
      </c>
      <c r="I146" s="7">
        <v>595.71207450713746</v>
      </c>
      <c r="J146" s="7">
        <v>401.90729972017198</v>
      </c>
      <c r="K146" s="7">
        <v>407.55152822968381</v>
      </c>
      <c r="L146" s="7">
        <v>401.26552623561429</v>
      </c>
      <c r="M146" s="7">
        <v>398.67042761384687</v>
      </c>
      <c r="N146" s="7">
        <v>398.67042761384687</v>
      </c>
      <c r="O146" s="7">
        <v>398.67042761384687</v>
      </c>
    </row>
    <row r="147" spans="1:18">
      <c r="A147" s="7" t="s">
        <v>59</v>
      </c>
      <c r="B147" s="3" t="s">
        <v>87</v>
      </c>
      <c r="C147" s="1" t="s">
        <v>15</v>
      </c>
      <c r="D147" s="13" t="s">
        <v>122</v>
      </c>
      <c r="E147" s="7"/>
      <c r="F147" s="12" t="s">
        <v>147</v>
      </c>
      <c r="G147" s="7" t="s">
        <v>20</v>
      </c>
      <c r="H147" s="18" t="s">
        <v>202</v>
      </c>
      <c r="I147" s="7">
        <v>22.247394390644907</v>
      </c>
      <c r="J147" s="7">
        <v>32.743863227203811</v>
      </c>
      <c r="K147" s="7">
        <v>32.787048185286409</v>
      </c>
      <c r="L147" s="7">
        <v>32.743863227203811</v>
      </c>
      <c r="M147" s="7">
        <v>32.743863227203811</v>
      </c>
      <c r="N147" s="7">
        <v>32.743863227203811</v>
      </c>
      <c r="O147" s="7">
        <v>32.743863227203811</v>
      </c>
    </row>
    <row r="148" spans="1:18">
      <c r="A148" s="7" t="s">
        <v>60</v>
      </c>
      <c r="B148" s="3" t="s">
        <v>87</v>
      </c>
      <c r="C148" s="1" t="s">
        <v>15</v>
      </c>
      <c r="D148" s="13" t="s">
        <v>123</v>
      </c>
      <c r="E148" s="7"/>
      <c r="F148" s="12" t="s">
        <v>147</v>
      </c>
      <c r="G148" s="7" t="s">
        <v>20</v>
      </c>
      <c r="H148" s="18" t="s">
        <v>202</v>
      </c>
      <c r="I148" s="7">
        <v>26.655978468788369</v>
      </c>
      <c r="J148" s="7">
        <v>12.108362690782954</v>
      </c>
      <c r="K148" s="7">
        <v>13.260706975397243</v>
      </c>
      <c r="L148" s="7">
        <v>12.026493020120011</v>
      </c>
      <c r="M148" s="7">
        <v>11.811689185463106</v>
      </c>
      <c r="N148" s="7">
        <v>11.811689185463106</v>
      </c>
      <c r="O148" s="7">
        <v>11.811689185463106</v>
      </c>
    </row>
    <row r="149" spans="1:18">
      <c r="A149" s="7" t="s">
        <v>61</v>
      </c>
      <c r="B149" s="3" t="s">
        <v>87</v>
      </c>
      <c r="C149" s="1" t="s">
        <v>14</v>
      </c>
      <c r="D149" s="13" t="s">
        <v>152</v>
      </c>
      <c r="E149" s="7"/>
      <c r="F149" s="12" t="s">
        <v>14</v>
      </c>
      <c r="G149" s="7" t="s">
        <v>20</v>
      </c>
      <c r="H149" s="18" t="s">
        <v>202</v>
      </c>
      <c r="I149" s="7">
        <v>11.2</v>
      </c>
      <c r="J149" s="7">
        <v>11.2</v>
      </c>
      <c r="K149" s="7">
        <v>11.2</v>
      </c>
      <c r="L149" s="7" t="s">
        <v>263</v>
      </c>
      <c r="M149" s="7" t="s">
        <v>263</v>
      </c>
      <c r="N149" s="7" t="s">
        <v>263</v>
      </c>
      <c r="O149" s="7" t="s">
        <v>263</v>
      </c>
    </row>
    <row r="150" spans="1:18">
      <c r="A150" s="7" t="s">
        <v>61</v>
      </c>
      <c r="B150" s="3" t="s">
        <v>87</v>
      </c>
      <c r="C150" s="1" t="s">
        <v>16</v>
      </c>
      <c r="D150" s="13" t="s">
        <v>152</v>
      </c>
      <c r="E150" s="7"/>
      <c r="F150" s="12" t="s">
        <v>16</v>
      </c>
      <c r="G150" s="7" t="s">
        <v>20</v>
      </c>
      <c r="H150" s="18" t="s">
        <v>202</v>
      </c>
      <c r="I150" s="7">
        <v>2.6248949600000002</v>
      </c>
      <c r="J150" s="7">
        <v>2.617959645</v>
      </c>
      <c r="K150" s="7">
        <v>2.6131970650000005</v>
      </c>
      <c r="L150" s="7" t="s">
        <v>263</v>
      </c>
      <c r="M150" s="7" t="s">
        <v>263</v>
      </c>
      <c r="N150" s="7" t="s">
        <v>263</v>
      </c>
      <c r="O150" s="7" t="s">
        <v>263</v>
      </c>
    </row>
    <row r="151" spans="1:18">
      <c r="A151" s="7" t="s">
        <v>62</v>
      </c>
      <c r="B151" s="3" t="s">
        <v>87</v>
      </c>
      <c r="C151" s="1" t="s">
        <v>16</v>
      </c>
      <c r="D151" s="13" t="s">
        <v>153</v>
      </c>
      <c r="E151" s="7"/>
      <c r="F151" s="12" t="s">
        <v>16</v>
      </c>
      <c r="G151" s="7" t="s">
        <v>20</v>
      </c>
      <c r="H151" s="18" t="s">
        <v>202</v>
      </c>
      <c r="I151" s="7">
        <v>32.550404475000001</v>
      </c>
      <c r="J151" s="7">
        <v>37.51727059000001</v>
      </c>
      <c r="K151" s="7">
        <v>37.745974335000007</v>
      </c>
      <c r="L151" s="7" t="s">
        <v>263</v>
      </c>
      <c r="M151" s="7" t="s">
        <v>263</v>
      </c>
      <c r="N151" s="7" t="s">
        <v>263</v>
      </c>
      <c r="O151" s="7" t="s">
        <v>263</v>
      </c>
    </row>
    <row r="152" spans="1:18">
      <c r="A152" s="7" t="s">
        <v>63</v>
      </c>
      <c r="B152" s="3" t="s">
        <v>87</v>
      </c>
      <c r="C152" s="1" t="s">
        <v>16</v>
      </c>
      <c r="D152" s="13" t="s">
        <v>154</v>
      </c>
      <c r="E152" s="7"/>
      <c r="F152" s="12" t="s">
        <v>16</v>
      </c>
      <c r="G152" s="7" t="s">
        <v>20</v>
      </c>
      <c r="H152" s="18" t="s">
        <v>202</v>
      </c>
      <c r="I152" s="7">
        <v>7.3788648450000007</v>
      </c>
      <c r="J152" s="7">
        <v>7.3620871650000002</v>
      </c>
      <c r="K152" s="7">
        <v>7.4069691550000005</v>
      </c>
      <c r="L152" s="7" t="s">
        <v>263</v>
      </c>
      <c r="M152" s="7" t="s">
        <v>263</v>
      </c>
      <c r="N152" s="7" t="s">
        <v>263</v>
      </c>
      <c r="O152" s="7" t="s">
        <v>263</v>
      </c>
    </row>
    <row r="153" spans="1:18">
      <c r="A153" s="7" t="s">
        <v>64</v>
      </c>
      <c r="B153" s="3" t="s">
        <v>87</v>
      </c>
      <c r="C153" s="1" t="s">
        <v>14</v>
      </c>
      <c r="D153" s="13" t="s">
        <v>124</v>
      </c>
      <c r="E153" s="7"/>
      <c r="F153" s="12" t="s">
        <v>14</v>
      </c>
      <c r="G153" s="7" t="s">
        <v>20</v>
      </c>
      <c r="H153" s="18" t="s">
        <v>202</v>
      </c>
      <c r="I153" s="7">
        <v>20.537498941680003</v>
      </c>
      <c r="J153" s="7">
        <v>2.1450242226</v>
      </c>
      <c r="K153" s="7">
        <v>2.3284379356000007</v>
      </c>
      <c r="L153" s="7">
        <v>3.5552810374928003</v>
      </c>
      <c r="M153" s="7">
        <v>3.5552810374928003</v>
      </c>
      <c r="N153" s="7">
        <v>3.5552810374928003</v>
      </c>
      <c r="O153" s="7">
        <v>3.5552810374928003</v>
      </c>
    </row>
    <row r="154" spans="1:18">
      <c r="A154" s="7" t="s">
        <v>64</v>
      </c>
      <c r="B154" s="3" t="s">
        <v>87</v>
      </c>
      <c r="C154" s="1" t="s">
        <v>16</v>
      </c>
      <c r="D154" s="13" t="s">
        <v>124</v>
      </c>
      <c r="E154" s="7"/>
      <c r="F154" s="12" t="s">
        <v>16</v>
      </c>
      <c r="G154" s="7" t="s">
        <v>20</v>
      </c>
      <c r="H154" s="18" t="s">
        <v>202</v>
      </c>
      <c r="I154" s="7">
        <v>9.4255087348499984</v>
      </c>
      <c r="J154" s="7">
        <v>0.59178895555000011</v>
      </c>
      <c r="K154" s="7">
        <v>0.68227261989999999</v>
      </c>
      <c r="L154" s="7">
        <v>1.3352792326102996</v>
      </c>
      <c r="M154" s="7">
        <v>1.3352792326102996</v>
      </c>
      <c r="N154" s="7">
        <v>1.3352792326102996</v>
      </c>
      <c r="O154" s="7">
        <v>1.3352792326102996</v>
      </c>
    </row>
    <row r="155" spans="1:18">
      <c r="A155" s="7" t="s">
        <v>65</v>
      </c>
      <c r="B155" s="3" t="s">
        <v>87</v>
      </c>
      <c r="C155" s="1" t="s">
        <v>15</v>
      </c>
      <c r="D155" s="13" t="s">
        <v>125</v>
      </c>
      <c r="E155" s="7"/>
      <c r="F155" s="19" t="s">
        <v>155</v>
      </c>
      <c r="G155" s="28" t="s">
        <v>20</v>
      </c>
      <c r="H155" s="29" t="s">
        <v>202</v>
      </c>
      <c r="I155" s="28">
        <v>-1113.2773844720011</v>
      </c>
      <c r="J155" s="28">
        <v>-2173.8512488293354</v>
      </c>
      <c r="K155" s="28">
        <v>-2331.8585896210016</v>
      </c>
      <c r="L155" s="7" t="s">
        <v>263</v>
      </c>
      <c r="M155" s="7" t="s">
        <v>263</v>
      </c>
      <c r="N155" s="7" t="s">
        <v>263</v>
      </c>
      <c r="O155" s="7" t="s">
        <v>263</v>
      </c>
      <c r="P155" s="50"/>
      <c r="Q155" s="50"/>
      <c r="R155" s="50"/>
    </row>
    <row r="156" spans="1:18">
      <c r="A156" s="7" t="s">
        <v>66</v>
      </c>
      <c r="B156" s="3" t="s">
        <v>87</v>
      </c>
      <c r="C156" s="1" t="s">
        <v>15</v>
      </c>
      <c r="D156" s="13" t="s">
        <v>126</v>
      </c>
      <c r="E156" s="7"/>
      <c r="F156" s="19" t="s">
        <v>155</v>
      </c>
      <c r="G156" s="28" t="s">
        <v>20</v>
      </c>
      <c r="H156" s="29" t="s">
        <v>202</v>
      </c>
      <c r="I156" s="28">
        <v>-539.54816358300025</v>
      </c>
      <c r="J156" s="28">
        <v>-636.19375309380052</v>
      </c>
      <c r="K156" s="28">
        <v>-627.89361999393418</v>
      </c>
      <c r="L156" s="7" t="s">
        <v>263</v>
      </c>
      <c r="M156" s="7" t="s">
        <v>263</v>
      </c>
      <c r="N156" s="7" t="s">
        <v>263</v>
      </c>
      <c r="O156" s="7" t="s">
        <v>263</v>
      </c>
      <c r="P156" s="50"/>
      <c r="Q156" s="50"/>
      <c r="R156" s="50"/>
    </row>
    <row r="157" spans="1:18">
      <c r="A157" s="7" t="s">
        <v>67</v>
      </c>
      <c r="B157" s="3" t="s">
        <v>87</v>
      </c>
      <c r="C157" s="1" t="s">
        <v>15</v>
      </c>
      <c r="D157" s="13" t="s">
        <v>127</v>
      </c>
      <c r="E157" s="7"/>
      <c r="F157" s="19" t="s">
        <v>155</v>
      </c>
      <c r="G157" s="48" t="s">
        <v>20</v>
      </c>
      <c r="H157" s="49" t="s">
        <v>202</v>
      </c>
      <c r="I157" s="48">
        <v>398.23467395433374</v>
      </c>
      <c r="J157" s="48">
        <v>340.21008737100027</v>
      </c>
      <c r="K157" s="48">
        <v>190.68727319766683</v>
      </c>
      <c r="L157" s="7" t="s">
        <v>263</v>
      </c>
      <c r="M157" s="7" t="s">
        <v>263</v>
      </c>
      <c r="N157" s="7" t="s">
        <v>263</v>
      </c>
      <c r="O157" s="7" t="s">
        <v>263</v>
      </c>
      <c r="P157" s="51"/>
      <c r="Q157" s="51"/>
      <c r="R157" s="51"/>
    </row>
    <row r="158" spans="1:18">
      <c r="A158" s="7" t="s">
        <v>68</v>
      </c>
      <c r="B158" s="3" t="s">
        <v>87</v>
      </c>
      <c r="C158" s="1" t="s">
        <v>15</v>
      </c>
      <c r="D158" s="13" t="s">
        <v>128</v>
      </c>
      <c r="E158" s="7"/>
      <c r="F158" s="19" t="s">
        <v>155</v>
      </c>
      <c r="G158" s="48" t="s">
        <v>20</v>
      </c>
      <c r="H158" s="49" t="s">
        <v>202</v>
      </c>
      <c r="I158" s="48">
        <v>32.713064501333356</v>
      </c>
      <c r="J158" s="48">
        <v>30.355045009666696</v>
      </c>
      <c r="K158" s="48">
        <v>30.604430864333366</v>
      </c>
      <c r="L158" s="7" t="s">
        <v>263</v>
      </c>
      <c r="M158" s="7" t="s">
        <v>263</v>
      </c>
      <c r="N158" s="7" t="s">
        <v>263</v>
      </c>
      <c r="O158" s="7" t="s">
        <v>263</v>
      </c>
      <c r="P158" s="51"/>
      <c r="Q158" s="51"/>
      <c r="R158" s="51"/>
    </row>
    <row r="159" spans="1:18">
      <c r="A159" s="7" t="s">
        <v>69</v>
      </c>
      <c r="B159" s="3" t="s">
        <v>87</v>
      </c>
      <c r="C159" s="1" t="s">
        <v>15</v>
      </c>
      <c r="D159" s="13" t="s">
        <v>129</v>
      </c>
      <c r="E159" s="7"/>
      <c r="F159" s="19" t="s">
        <v>155</v>
      </c>
      <c r="G159" s="28" t="s">
        <v>20</v>
      </c>
      <c r="H159" s="29" t="s">
        <v>202</v>
      </c>
      <c r="I159" s="28">
        <v>16.874066395999971</v>
      </c>
      <c r="J159" s="28">
        <v>306.70343185533369</v>
      </c>
      <c r="K159" s="28">
        <v>167.7779584580002</v>
      </c>
      <c r="L159" s="7" t="s">
        <v>263</v>
      </c>
      <c r="M159" s="7" t="s">
        <v>263</v>
      </c>
      <c r="N159" s="7" t="s">
        <v>263</v>
      </c>
      <c r="O159" s="7" t="s">
        <v>263</v>
      </c>
      <c r="P159" s="50"/>
      <c r="Q159" s="50"/>
      <c r="R159" s="50"/>
    </row>
    <row r="160" spans="1:18">
      <c r="A160" s="7" t="s">
        <v>70</v>
      </c>
      <c r="B160" s="3" t="s">
        <v>87</v>
      </c>
      <c r="C160" s="1" t="s">
        <v>15</v>
      </c>
      <c r="D160" s="13" t="s">
        <v>130</v>
      </c>
      <c r="E160" s="7"/>
      <c r="F160" s="19" t="s">
        <v>155</v>
      </c>
      <c r="G160" s="28" t="s">
        <v>20</v>
      </c>
      <c r="H160" s="29" t="s">
        <v>202</v>
      </c>
      <c r="I160" s="28">
        <v>94.907947698666746</v>
      </c>
      <c r="J160" s="28">
        <v>263.11153667810049</v>
      </c>
      <c r="K160" s="28">
        <v>263.90989043356683</v>
      </c>
      <c r="L160" s="7" t="s">
        <v>263</v>
      </c>
      <c r="M160" s="7" t="s">
        <v>263</v>
      </c>
      <c r="N160" s="7" t="s">
        <v>263</v>
      </c>
      <c r="O160" s="7" t="s">
        <v>263</v>
      </c>
      <c r="P160" s="50"/>
      <c r="Q160" s="50"/>
      <c r="R160" s="50"/>
    </row>
    <row r="161" spans="1:18">
      <c r="A161" s="7" t="s">
        <v>71</v>
      </c>
      <c r="B161" s="3" t="s">
        <v>87</v>
      </c>
      <c r="C161" s="1" t="s">
        <v>15</v>
      </c>
      <c r="D161" s="13" t="s">
        <v>131</v>
      </c>
      <c r="E161" s="7"/>
      <c r="F161" s="19" t="s">
        <v>155</v>
      </c>
      <c r="G161" s="48" t="s">
        <v>20</v>
      </c>
      <c r="H161" s="49" t="s">
        <v>202</v>
      </c>
      <c r="I161" s="48">
        <v>67.765661113333394</v>
      </c>
      <c r="J161" s="48">
        <v>66.205957986666718</v>
      </c>
      <c r="K161" s="48">
        <v>66.200916723333393</v>
      </c>
      <c r="L161" s="7" t="s">
        <v>263</v>
      </c>
      <c r="M161" s="7" t="s">
        <v>263</v>
      </c>
      <c r="N161" s="7" t="s">
        <v>263</v>
      </c>
      <c r="O161" s="7" t="s">
        <v>263</v>
      </c>
      <c r="P161" s="51"/>
      <c r="Q161" s="51"/>
      <c r="R161" s="51"/>
    </row>
    <row r="162" spans="1:18">
      <c r="A162" s="7" t="s">
        <v>72</v>
      </c>
      <c r="B162" s="3" t="s">
        <v>87</v>
      </c>
      <c r="C162" s="1" t="s">
        <v>15</v>
      </c>
      <c r="D162" s="13" t="s">
        <v>132</v>
      </c>
      <c r="E162" s="7"/>
      <c r="F162" s="19" t="s">
        <v>155</v>
      </c>
      <c r="G162" s="48" t="s">
        <v>20</v>
      </c>
      <c r="H162" s="49" t="s">
        <v>202</v>
      </c>
      <c r="I162" s="48">
        <v>20.808700407000014</v>
      </c>
      <c r="J162" s="48">
        <v>47.017561503000046</v>
      </c>
      <c r="K162" s="48">
        <v>46.992794581333371</v>
      </c>
      <c r="L162" s="7" t="s">
        <v>263</v>
      </c>
      <c r="M162" s="7" t="s">
        <v>263</v>
      </c>
      <c r="N162" s="7" t="s">
        <v>263</v>
      </c>
      <c r="O162" s="7" t="s">
        <v>263</v>
      </c>
      <c r="P162" s="51"/>
      <c r="Q162" s="51"/>
      <c r="R162" s="51"/>
    </row>
    <row r="163" spans="1:18">
      <c r="A163" s="7" t="s">
        <v>73</v>
      </c>
      <c r="B163" s="3" t="s">
        <v>87</v>
      </c>
      <c r="C163" s="1" t="s">
        <v>15</v>
      </c>
      <c r="D163" s="13" t="s">
        <v>133</v>
      </c>
      <c r="E163" s="7"/>
      <c r="F163" s="19" t="s">
        <v>155</v>
      </c>
      <c r="G163" s="28" t="s">
        <v>20</v>
      </c>
      <c r="H163" s="29" t="s">
        <v>202</v>
      </c>
      <c r="I163" s="28">
        <v>-44.851275593666692</v>
      </c>
      <c r="J163" s="28">
        <v>-45.993485160333357</v>
      </c>
      <c r="K163" s="28">
        <v>-47.789190768000026</v>
      </c>
      <c r="L163" s="7" t="s">
        <v>263</v>
      </c>
      <c r="M163" s="7" t="s">
        <v>263</v>
      </c>
      <c r="N163" s="7" t="s">
        <v>263</v>
      </c>
      <c r="O163" s="7" t="s">
        <v>263</v>
      </c>
      <c r="P163" s="50"/>
      <c r="Q163" s="50"/>
      <c r="R163" s="50"/>
    </row>
    <row r="164" spans="1:18">
      <c r="A164" s="7" t="s">
        <v>74</v>
      </c>
      <c r="B164" s="3" t="s">
        <v>87</v>
      </c>
      <c r="C164" s="1" t="s">
        <v>15</v>
      </c>
      <c r="D164" s="13" t="s">
        <v>134</v>
      </c>
      <c r="E164" s="7"/>
      <c r="F164" s="19" t="s">
        <v>155</v>
      </c>
      <c r="G164" s="28" t="s">
        <v>20</v>
      </c>
      <c r="H164" s="29" t="s">
        <v>202</v>
      </c>
      <c r="I164" s="28">
        <v>258.23757001166695</v>
      </c>
      <c r="J164" s="28">
        <v>213.04012740633354</v>
      </c>
      <c r="K164" s="28">
        <v>213.21286139266681</v>
      </c>
      <c r="L164" s="7" t="s">
        <v>263</v>
      </c>
      <c r="M164" s="7" t="s">
        <v>263</v>
      </c>
      <c r="N164" s="7" t="s">
        <v>263</v>
      </c>
      <c r="O164" s="7" t="s">
        <v>263</v>
      </c>
      <c r="P164" s="50"/>
      <c r="Q164" s="50"/>
      <c r="R164" s="50"/>
    </row>
    <row r="165" spans="1:18">
      <c r="A165" s="7" t="s">
        <v>75</v>
      </c>
      <c r="B165" s="3" t="s">
        <v>87</v>
      </c>
      <c r="C165" s="1" t="s">
        <v>15</v>
      </c>
      <c r="D165" s="13" t="s">
        <v>135</v>
      </c>
      <c r="E165" s="7"/>
      <c r="F165" s="19" t="s">
        <v>155</v>
      </c>
      <c r="G165" s="48" t="s">
        <v>20</v>
      </c>
      <c r="H165" s="49" t="s">
        <v>202</v>
      </c>
      <c r="I165" s="48">
        <v>87.833718188333407</v>
      </c>
      <c r="J165" s="48">
        <v>129.94479663366684</v>
      </c>
      <c r="K165" s="48">
        <v>130.33318975600014</v>
      </c>
      <c r="L165" s="7" t="s">
        <v>263</v>
      </c>
      <c r="M165" s="7" t="s">
        <v>263</v>
      </c>
      <c r="N165" s="7" t="s">
        <v>263</v>
      </c>
      <c r="O165" s="7" t="s">
        <v>263</v>
      </c>
      <c r="P165" s="51"/>
      <c r="Q165" s="51"/>
      <c r="R165" s="51"/>
    </row>
    <row r="166" spans="1:18">
      <c r="A166" s="41" t="s">
        <v>76</v>
      </c>
      <c r="B166" s="44" t="s">
        <v>87</v>
      </c>
      <c r="C166" s="42" t="s">
        <v>15</v>
      </c>
      <c r="D166" s="43" t="s">
        <v>136</v>
      </c>
      <c r="E166" s="41"/>
      <c r="F166" s="86" t="s">
        <v>260</v>
      </c>
      <c r="G166" s="41" t="s">
        <v>20</v>
      </c>
      <c r="H166" s="45" t="s">
        <v>202</v>
      </c>
      <c r="I166" s="48">
        <v>-1127.20587</v>
      </c>
      <c r="J166" s="48">
        <v>-28.662389999999998</v>
      </c>
      <c r="K166" s="48">
        <v>-39.235129999999998</v>
      </c>
      <c r="L166" s="48">
        <v>22.367180000000001</v>
      </c>
      <c r="M166" s="48">
        <v>22.367180000000001</v>
      </c>
      <c r="N166" s="48">
        <v>22.367180000000001</v>
      </c>
      <c r="O166" s="48">
        <v>22.367180000000001</v>
      </c>
      <c r="P166" s="50"/>
      <c r="Q166" s="50"/>
      <c r="R166" s="50"/>
    </row>
    <row r="167" spans="1:18">
      <c r="A167" s="7" t="s">
        <v>77</v>
      </c>
      <c r="B167" s="3" t="s">
        <v>87</v>
      </c>
      <c r="C167" s="1" t="s">
        <v>14</v>
      </c>
      <c r="D167" s="13" t="s">
        <v>141</v>
      </c>
      <c r="E167" s="7"/>
      <c r="F167" s="12" t="s">
        <v>14</v>
      </c>
      <c r="G167" s="7" t="s">
        <v>20</v>
      </c>
      <c r="H167" s="18" t="s">
        <v>202</v>
      </c>
      <c r="I167" s="7">
        <v>862.10880000000009</v>
      </c>
      <c r="J167" s="7">
        <v>304.67920000000004</v>
      </c>
      <c r="K167" s="7">
        <v>289.42200000000003</v>
      </c>
      <c r="L167" s="7">
        <v>237.21880000000002</v>
      </c>
      <c r="M167" s="7">
        <v>191.06640000000002</v>
      </c>
      <c r="N167" s="7">
        <v>157.49440000000001</v>
      </c>
      <c r="O167" s="7">
        <v>91.568400000000011</v>
      </c>
    </row>
    <row r="168" spans="1:18">
      <c r="A168" s="7" t="s">
        <v>77</v>
      </c>
      <c r="B168" s="3" t="s">
        <v>87</v>
      </c>
      <c r="C168" s="1" t="s">
        <v>15</v>
      </c>
      <c r="D168" s="13" t="s">
        <v>141</v>
      </c>
      <c r="E168" s="7"/>
      <c r="F168" s="12" t="s">
        <v>147</v>
      </c>
      <c r="G168" s="7" t="s">
        <v>20</v>
      </c>
      <c r="H168" s="18" t="s">
        <v>202</v>
      </c>
      <c r="I168" s="7" t="s">
        <v>263</v>
      </c>
      <c r="J168" s="7" t="s">
        <v>263</v>
      </c>
      <c r="K168" s="7" t="s">
        <v>263</v>
      </c>
      <c r="L168" s="7" t="s">
        <v>263</v>
      </c>
      <c r="M168" s="7" t="s">
        <v>263</v>
      </c>
      <c r="N168" s="7" t="s">
        <v>263</v>
      </c>
      <c r="O168" s="7" t="s">
        <v>263</v>
      </c>
    </row>
    <row r="169" spans="1:18">
      <c r="A169" s="7" t="s">
        <v>78</v>
      </c>
      <c r="B169" s="3" t="s">
        <v>87</v>
      </c>
      <c r="C169" s="1" t="s">
        <v>14</v>
      </c>
      <c r="D169" s="13" t="s">
        <v>137</v>
      </c>
      <c r="E169" s="7"/>
      <c r="F169" s="12" t="s">
        <v>14</v>
      </c>
      <c r="G169" s="7" t="s">
        <v>20</v>
      </c>
      <c r="H169" s="18" t="s">
        <v>202</v>
      </c>
      <c r="I169" s="7">
        <v>13.318290580000001</v>
      </c>
      <c r="J169" s="7">
        <v>30.868844937446337</v>
      </c>
      <c r="K169" s="7">
        <v>32.018281784230737</v>
      </c>
      <c r="L169" s="7">
        <v>36.728703448277834</v>
      </c>
      <c r="M169" s="7">
        <v>42.616921223974103</v>
      </c>
      <c r="N169" s="7">
        <v>47.77227895237467</v>
      </c>
      <c r="O169" s="7">
        <v>56.080302722119207</v>
      </c>
    </row>
    <row r="170" spans="1:18">
      <c r="A170" s="7" t="s">
        <v>78</v>
      </c>
      <c r="B170" s="3" t="s">
        <v>87</v>
      </c>
      <c r="C170" s="1" t="s">
        <v>16</v>
      </c>
      <c r="D170" s="13" t="s">
        <v>137</v>
      </c>
      <c r="E170" s="7"/>
      <c r="F170" s="12" t="s">
        <v>16</v>
      </c>
      <c r="G170" s="7" t="s">
        <v>20</v>
      </c>
      <c r="H170" s="18" t="s">
        <v>202</v>
      </c>
      <c r="I170" s="7">
        <v>4.6527035800000007</v>
      </c>
      <c r="J170" s="7">
        <v>8.2731579600000007</v>
      </c>
      <c r="K170" s="7">
        <v>8.6051648000000007</v>
      </c>
      <c r="L170" s="7">
        <v>8.5759528565586596</v>
      </c>
      <c r="M170" s="7">
        <v>8.5394379272569854</v>
      </c>
      <c r="N170" s="7">
        <v>8.7965801303260687</v>
      </c>
      <c r="O170" s="7">
        <v>9.3277514871135878</v>
      </c>
    </row>
    <row r="171" spans="1:18">
      <c r="A171" s="7" t="s">
        <v>79</v>
      </c>
      <c r="B171" s="3" t="s">
        <v>87</v>
      </c>
      <c r="C171" s="1" t="s">
        <v>14</v>
      </c>
      <c r="D171" s="13" t="s">
        <v>138</v>
      </c>
      <c r="E171" s="7"/>
      <c r="F171" s="12" t="s">
        <v>14</v>
      </c>
      <c r="G171" s="7" t="s">
        <v>20</v>
      </c>
      <c r="H171" s="18" t="s">
        <v>202</v>
      </c>
      <c r="I171" s="7">
        <v>9.9573005071680001</v>
      </c>
      <c r="J171" s="7">
        <v>5.29885874</v>
      </c>
      <c r="K171" s="7">
        <v>5.2457109600000003</v>
      </c>
      <c r="L171" s="7">
        <v>4.8978828669836929</v>
      </c>
      <c r="M171" s="7">
        <v>4.4630977507133069</v>
      </c>
      <c r="N171" s="7">
        <v>4.2577631022171989</v>
      </c>
      <c r="O171" s="7">
        <v>3.6319667077576918</v>
      </c>
    </row>
    <row r="172" spans="1:18">
      <c r="A172" s="7" t="s">
        <v>79</v>
      </c>
      <c r="B172" s="3" t="s">
        <v>87</v>
      </c>
      <c r="C172" s="1" t="s">
        <v>15</v>
      </c>
      <c r="D172" s="13" t="s">
        <v>138</v>
      </c>
      <c r="E172" s="7"/>
      <c r="F172" s="12" t="s">
        <v>147</v>
      </c>
      <c r="G172" s="7" t="s">
        <v>20</v>
      </c>
      <c r="H172" s="18" t="s">
        <v>202</v>
      </c>
      <c r="I172" s="7">
        <v>40.233017000000004</v>
      </c>
      <c r="J172" s="7">
        <v>8.8962020000000006</v>
      </c>
      <c r="K172" s="7">
        <v>8.6818457000000002</v>
      </c>
      <c r="L172" s="7">
        <v>7.5348880279609203</v>
      </c>
      <c r="M172" s="7">
        <v>6.1091949175823981</v>
      </c>
      <c r="N172" s="7">
        <v>5.4278802461538698</v>
      </c>
      <c r="O172" s="7">
        <v>3.4420704000000004</v>
      </c>
    </row>
    <row r="173" spans="1:18">
      <c r="A173" s="7" t="s">
        <v>79</v>
      </c>
      <c r="B173" s="3" t="s">
        <v>87</v>
      </c>
      <c r="C173" s="1" t="s">
        <v>16</v>
      </c>
      <c r="D173" s="13" t="s">
        <v>138</v>
      </c>
      <c r="E173" s="7"/>
      <c r="F173" s="12" t="s">
        <v>16</v>
      </c>
      <c r="G173" s="7" t="s">
        <v>20</v>
      </c>
      <c r="H173" s="18" t="s">
        <v>202</v>
      </c>
      <c r="I173" s="7">
        <v>64.528054066134004</v>
      </c>
      <c r="J173" s="7">
        <v>48.987388550000006</v>
      </c>
      <c r="K173" s="7">
        <v>48.469035299999994</v>
      </c>
      <c r="L173" s="7">
        <v>51.453328607803108</v>
      </c>
      <c r="M173" s="7">
        <v>55.183695242556986</v>
      </c>
      <c r="N173" s="7">
        <v>57.064278729314935</v>
      </c>
      <c r="O173" s="7">
        <v>60.901236667747447</v>
      </c>
    </row>
    <row r="174" spans="1:18">
      <c r="A174" s="7" t="s">
        <v>80</v>
      </c>
      <c r="B174" s="3" t="s">
        <v>87</v>
      </c>
      <c r="C174" s="1" t="s">
        <v>14</v>
      </c>
      <c r="D174" s="13" t="s">
        <v>139</v>
      </c>
      <c r="E174" s="7"/>
      <c r="F174" s="12" t="s">
        <v>14</v>
      </c>
      <c r="G174" s="7" t="s">
        <v>20</v>
      </c>
      <c r="H174" s="18" t="s">
        <v>202</v>
      </c>
      <c r="I174" s="7">
        <v>209.09759359999998</v>
      </c>
      <c r="J174" s="7">
        <v>215.76687440000001</v>
      </c>
      <c r="K174" s="7">
        <v>217.001722</v>
      </c>
      <c r="L174" s="7">
        <v>224.79199708965518</v>
      </c>
      <c r="M174" s="7">
        <v>233.97331304827588</v>
      </c>
      <c r="N174" s="7">
        <v>242.19963049655172</v>
      </c>
      <c r="O174" s="7">
        <v>259.04938640000006</v>
      </c>
    </row>
    <row r="175" spans="1:18">
      <c r="A175" s="7" t="s">
        <v>80</v>
      </c>
      <c r="B175" s="3" t="s">
        <v>87</v>
      </c>
      <c r="C175" s="1" t="s">
        <v>16</v>
      </c>
      <c r="D175" s="13" t="s">
        <v>139</v>
      </c>
      <c r="E175" s="7"/>
      <c r="F175" s="12" t="s">
        <v>16</v>
      </c>
      <c r="G175" s="7" t="s">
        <v>20</v>
      </c>
      <c r="H175" s="18" t="s">
        <v>202</v>
      </c>
      <c r="I175" s="7">
        <v>1074.4401128800002</v>
      </c>
      <c r="J175" s="7">
        <v>548.60309433999998</v>
      </c>
      <c r="K175" s="7">
        <v>532.68280170000003</v>
      </c>
      <c r="L175" s="7">
        <v>488.83031506137934</v>
      </c>
      <c r="M175" s="7">
        <v>426.7897725868965</v>
      </c>
      <c r="N175" s="7">
        <v>356.82364889379312</v>
      </c>
      <c r="O175" s="7">
        <v>108.46875006999998</v>
      </c>
    </row>
    <row r="176" spans="1:18">
      <c r="A176" s="7" t="s">
        <v>86</v>
      </c>
      <c r="B176" s="3" t="s">
        <v>87</v>
      </c>
      <c r="C176" s="1" t="s">
        <v>14</v>
      </c>
      <c r="D176" s="20" t="s">
        <v>156</v>
      </c>
      <c r="E176" s="7"/>
      <c r="F176" s="12" t="s">
        <v>14</v>
      </c>
      <c r="G176" s="7" t="s">
        <v>20</v>
      </c>
      <c r="H176" s="18" t="s">
        <v>202</v>
      </c>
      <c r="I176" s="7">
        <v>0.755664</v>
      </c>
      <c r="J176" s="7">
        <v>0.69683600000000001</v>
      </c>
      <c r="K176" s="7">
        <v>0.77551600000000009</v>
      </c>
      <c r="L176" s="7">
        <v>0.77551600000000009</v>
      </c>
      <c r="M176" s="7">
        <v>0.77551600000000009</v>
      </c>
      <c r="N176" s="7">
        <v>0.77551600000000009</v>
      </c>
      <c r="O176" s="7">
        <v>0.77551600000000009</v>
      </c>
    </row>
    <row r="177" spans="1:15">
      <c r="A177" s="7" t="s">
        <v>86</v>
      </c>
      <c r="B177" s="3" t="s">
        <v>87</v>
      </c>
      <c r="C177" s="1" t="s">
        <v>15</v>
      </c>
      <c r="D177" s="20" t="s">
        <v>156</v>
      </c>
      <c r="E177" s="7"/>
      <c r="F177" s="12" t="s">
        <v>147</v>
      </c>
      <c r="G177" s="7" t="s">
        <v>20</v>
      </c>
      <c r="H177" s="18" t="s">
        <v>202</v>
      </c>
      <c r="I177" s="7">
        <v>11.210880000000001</v>
      </c>
      <c r="J177" s="7">
        <v>11.653500000000001</v>
      </c>
      <c r="K177" s="7">
        <v>13.048500000000001</v>
      </c>
      <c r="L177" s="7">
        <v>13.048500000000001</v>
      </c>
      <c r="M177" s="7">
        <v>13.048500000000001</v>
      </c>
      <c r="N177" s="7">
        <v>13.048500000000001</v>
      </c>
      <c r="O177" s="7">
        <v>13.048500000000001</v>
      </c>
    </row>
    <row r="178" spans="1:15">
      <c r="A178" s="7" t="s">
        <v>86</v>
      </c>
      <c r="B178" s="3" t="s">
        <v>87</v>
      </c>
      <c r="C178" s="1" t="s">
        <v>16</v>
      </c>
      <c r="D178" s="20" t="s">
        <v>156</v>
      </c>
      <c r="E178" s="7"/>
      <c r="F178" s="12" t="s">
        <v>16</v>
      </c>
      <c r="G178" s="7" t="s">
        <v>20</v>
      </c>
      <c r="H178" s="18" t="s">
        <v>202</v>
      </c>
      <c r="I178" s="7">
        <v>0.54298500000000005</v>
      </c>
      <c r="J178" s="7">
        <v>0.46235875000000004</v>
      </c>
      <c r="K178" s="7">
        <v>0.52330874999999999</v>
      </c>
      <c r="L178" s="7">
        <v>0.52330874999999999</v>
      </c>
      <c r="M178" s="7">
        <v>0.52330874999999999</v>
      </c>
      <c r="N178" s="7">
        <v>0.52330874999999999</v>
      </c>
      <c r="O178" s="7">
        <v>0.52330874999999999</v>
      </c>
    </row>
    <row r="179" spans="1:15">
      <c r="A179" s="33" t="s">
        <v>81</v>
      </c>
      <c r="B179" s="16" t="s">
        <v>149</v>
      </c>
      <c r="C179" s="1" t="s">
        <v>219</v>
      </c>
      <c r="D179" s="35" t="s">
        <v>160</v>
      </c>
      <c r="E179" s="3" t="str">
        <f>IF($B179="","",VLOOKUP($B179,mapping!$A$5:$B$15,2,0))</f>
        <v>CRF-All fuels</v>
      </c>
      <c r="F179" s="1" t="s">
        <v>219</v>
      </c>
      <c r="G179" s="33" t="s">
        <v>20</v>
      </c>
      <c r="H179" s="36" t="s">
        <v>221</v>
      </c>
      <c r="I179" s="7">
        <v>36.899001771500004</v>
      </c>
      <c r="J179" s="7">
        <v>20.273928358750002</v>
      </c>
      <c r="K179" s="7">
        <v>20.583440284000002</v>
      </c>
      <c r="L179" s="7">
        <v>20.584579550065374</v>
      </c>
      <c r="M179" s="7">
        <v>20.586003632647092</v>
      </c>
      <c r="N179" s="7">
        <v>20.587427715228809</v>
      </c>
      <c r="O179" s="7">
        <v>20.591699962973962</v>
      </c>
    </row>
    <row r="180" spans="1:15">
      <c r="A180" s="33" t="s">
        <v>81</v>
      </c>
      <c r="B180" s="16" t="s">
        <v>149</v>
      </c>
      <c r="C180" s="1" t="s">
        <v>218</v>
      </c>
      <c r="D180" s="35" t="s">
        <v>160</v>
      </c>
      <c r="E180" s="3" t="str">
        <f>IF($B180="","",VLOOKUP($B180,mapping!$A$5:$B$15,2,0))</f>
        <v>CRF-All fuels</v>
      </c>
      <c r="F180" s="1" t="s">
        <v>218</v>
      </c>
      <c r="G180" s="33" t="s">
        <v>20</v>
      </c>
      <c r="H180" s="36" t="s">
        <v>221</v>
      </c>
      <c r="I180" s="7">
        <v>36.957643112164952</v>
      </c>
      <c r="J180" s="7">
        <v>6.2510999212770697</v>
      </c>
      <c r="K180" s="7">
        <v>6.1244718389853077</v>
      </c>
      <c r="L180" s="7">
        <v>5.4481158515323758</v>
      </c>
      <c r="M180" s="7">
        <v>4.4545103525937257</v>
      </c>
      <c r="N180" s="7">
        <v>4.0256468901429958</v>
      </c>
      <c r="O180" s="7">
        <v>3.098301662277152</v>
      </c>
    </row>
    <row r="181" spans="1:15">
      <c r="A181" s="33" t="s">
        <v>82</v>
      </c>
      <c r="B181" s="33"/>
      <c r="C181" s="1" t="s">
        <v>220</v>
      </c>
      <c r="D181" s="35" t="s">
        <v>168</v>
      </c>
      <c r="E181" s="33"/>
      <c r="F181" s="1" t="s">
        <v>220</v>
      </c>
      <c r="G181" s="33" t="s">
        <v>20</v>
      </c>
      <c r="H181" s="36" t="s">
        <v>221</v>
      </c>
      <c r="I181" s="7">
        <v>4.3954938814325675E-2</v>
      </c>
      <c r="J181" s="7">
        <v>2.4775180414308238E-2</v>
      </c>
      <c r="K181" s="7">
        <v>2.3613201857164326E-2</v>
      </c>
      <c r="L181" s="7">
        <v>2.7231292000024755E-2</v>
      </c>
      <c r="M181" s="7">
        <v>2.7193280714310434E-2</v>
      </c>
      <c r="N181" s="7">
        <v>2.7155217571453259E-2</v>
      </c>
      <c r="O181" s="7">
        <v>2.7022048428595995E-2</v>
      </c>
    </row>
    <row r="182" spans="1:15">
      <c r="A182" s="33" t="s">
        <v>82</v>
      </c>
      <c r="B182" s="33"/>
      <c r="C182" s="1" t="s">
        <v>218</v>
      </c>
      <c r="D182" s="35" t="s">
        <v>168</v>
      </c>
      <c r="E182" s="33"/>
      <c r="F182" s="1" t="s">
        <v>218</v>
      </c>
      <c r="G182" s="33" t="s">
        <v>20</v>
      </c>
      <c r="H182" s="36" t="s">
        <v>221</v>
      </c>
      <c r="I182" s="7">
        <v>0.10237903328400001</v>
      </c>
      <c r="J182" s="7">
        <v>6.4278379308000011E-2</v>
      </c>
      <c r="K182" s="7">
        <v>6.511947684000001E-2</v>
      </c>
      <c r="L182" s="7">
        <v>6.8619584880000001E-2</v>
      </c>
      <c r="M182" s="7">
        <v>6.8481223800000018E-2</v>
      </c>
      <c r="N182" s="7">
        <v>6.8342673960000017E-2</v>
      </c>
      <c r="O182" s="7">
        <v>6.7857938280000002E-2</v>
      </c>
    </row>
    <row r="183" spans="1:15">
      <c r="A183" s="33" t="s">
        <v>83</v>
      </c>
      <c r="B183" s="33"/>
      <c r="C183" s="1" t="s">
        <v>219</v>
      </c>
      <c r="D183" s="35" t="s">
        <v>161</v>
      </c>
      <c r="E183" s="33"/>
      <c r="F183" s="1" t="s">
        <v>219</v>
      </c>
      <c r="G183" s="33" t="s">
        <v>20</v>
      </c>
      <c r="H183" s="36" t="s">
        <v>221</v>
      </c>
      <c r="I183" s="7">
        <v>0.39105000000000001</v>
      </c>
      <c r="J183" s="7">
        <v>0.7080381</v>
      </c>
      <c r="K183" s="7">
        <v>0.67243192500000004</v>
      </c>
      <c r="L183" s="7">
        <v>0.72193687500000003</v>
      </c>
      <c r="M183" s="7">
        <v>0.7769732142857142</v>
      </c>
      <c r="N183" s="7">
        <v>0.74250000000000005</v>
      </c>
      <c r="O183" s="7">
        <v>0.74250000000000005</v>
      </c>
    </row>
    <row r="184" spans="1:15">
      <c r="A184" s="33" t="s">
        <v>83</v>
      </c>
      <c r="B184" s="33"/>
      <c r="C184" s="1" t="s">
        <v>220</v>
      </c>
      <c r="D184" s="35" t="s">
        <v>161</v>
      </c>
      <c r="E184" s="33"/>
      <c r="F184" s="1" t="s">
        <v>220</v>
      </c>
      <c r="G184" s="33" t="s">
        <v>20</v>
      </c>
      <c r="H184" s="36" t="s">
        <v>221</v>
      </c>
      <c r="I184" s="7">
        <v>6.3294345714343256</v>
      </c>
      <c r="J184" s="7">
        <v>10.500615085723831</v>
      </c>
      <c r="K184" s="7">
        <v>6.0752779295269512</v>
      </c>
      <c r="L184" s="7">
        <v>5.9860849208060776</v>
      </c>
      <c r="M184" s="7">
        <v>7.4693331428639338</v>
      </c>
      <c r="N184" s="7">
        <v>8.2118331428646076</v>
      </c>
      <c r="O184" s="7">
        <v>8.2118331428646076</v>
      </c>
    </row>
    <row r="185" spans="1:15">
      <c r="A185" s="33" t="s">
        <v>83</v>
      </c>
      <c r="B185" s="33"/>
      <c r="C185" s="1" t="s">
        <v>218</v>
      </c>
      <c r="D185" s="35" t="s">
        <v>161</v>
      </c>
      <c r="E185" s="33"/>
      <c r="F185" s="1" t="s">
        <v>218</v>
      </c>
      <c r="G185" s="33" t="s">
        <v>20</v>
      </c>
      <c r="H185" s="36" t="s">
        <v>221</v>
      </c>
      <c r="I185" s="7">
        <v>1.2916200000000002</v>
      </c>
      <c r="J185" s="7">
        <v>5.1018000000000001E-3</v>
      </c>
      <c r="K185" s="7">
        <v>3.607912E-3</v>
      </c>
      <c r="L185" s="7">
        <v>4.061709841269843E-3</v>
      </c>
      <c r="M185" s="7">
        <v>4.4942857142857137E-3</v>
      </c>
      <c r="N185" s="7">
        <v>5.28E-3</v>
      </c>
      <c r="O185" s="7">
        <v>5.28E-3</v>
      </c>
    </row>
    <row r="186" spans="1:15">
      <c r="A186" s="33" t="s">
        <v>84</v>
      </c>
      <c r="B186" s="33"/>
      <c r="C186" s="1" t="s">
        <v>220</v>
      </c>
      <c r="D186" s="35" t="s">
        <v>162</v>
      </c>
      <c r="E186" s="33"/>
      <c r="F186" s="1" t="s">
        <v>220</v>
      </c>
      <c r="G186" s="33" t="s">
        <v>20</v>
      </c>
      <c r="H186" s="36" t="s">
        <v>221</v>
      </c>
      <c r="I186" s="7">
        <v>1.1027330285724311</v>
      </c>
      <c r="J186" s="7">
        <v>0.13521321817155149</v>
      </c>
      <c r="K186" s="7">
        <v>0.14420847571441681</v>
      </c>
      <c r="L186" s="7">
        <v>0.14756185714299125</v>
      </c>
      <c r="M186" s="7">
        <v>0.14788400000013441</v>
      </c>
      <c r="N186" s="7">
        <v>0.14788400000013441</v>
      </c>
      <c r="O186" s="7">
        <v>0.14788400000013441</v>
      </c>
    </row>
    <row r="187" spans="1:15">
      <c r="A187" s="33" t="s">
        <v>84</v>
      </c>
      <c r="B187" s="33"/>
      <c r="C187" s="1" t="s">
        <v>218</v>
      </c>
      <c r="D187" s="35" t="s">
        <v>162</v>
      </c>
      <c r="E187" s="33"/>
      <c r="F187" s="1" t="s">
        <v>218</v>
      </c>
      <c r="G187" s="33" t="s">
        <v>20</v>
      </c>
      <c r="H187" s="36" t="s">
        <v>221</v>
      </c>
      <c r="I187" s="7">
        <v>2.2539287100000003</v>
      </c>
      <c r="J187" s="7">
        <v>0.27193336874000001</v>
      </c>
      <c r="K187" s="7">
        <v>0.28979808792000011</v>
      </c>
      <c r="L187" s="7">
        <v>0.29730457777777786</v>
      </c>
      <c r="M187" s="7">
        <v>0.29642360000000006</v>
      </c>
      <c r="N187" s="7">
        <v>0.29656352000000002</v>
      </c>
      <c r="O187" s="7">
        <v>0.29705456000000008</v>
      </c>
    </row>
    <row r="188" spans="1:15">
      <c r="A188" s="33" t="s">
        <v>45</v>
      </c>
      <c r="B188" s="33"/>
      <c r="C188" s="1" t="s">
        <v>220</v>
      </c>
      <c r="D188" s="35" t="s">
        <v>163</v>
      </c>
      <c r="E188" s="33"/>
      <c r="F188" s="1" t="s">
        <v>220</v>
      </c>
      <c r="G188" s="33" t="s">
        <v>20</v>
      </c>
      <c r="H188" s="36" t="s">
        <v>221</v>
      </c>
      <c r="I188" s="7">
        <v>7.4674285714353616E-4</v>
      </c>
      <c r="J188" s="7">
        <v>7.1068252806187062E-4</v>
      </c>
      <c r="K188" s="7">
        <v>7.1206198979656573E-4</v>
      </c>
      <c r="L188" s="7">
        <v>7.1745692857208088E-4</v>
      </c>
      <c r="M188" s="7">
        <v>7.3728717857209894E-4</v>
      </c>
      <c r="N188" s="7">
        <v>7.5759514285783159E-4</v>
      </c>
      <c r="O188" s="7">
        <v>8.1671228571502828E-4</v>
      </c>
    </row>
    <row r="189" spans="1:15">
      <c r="A189" s="33" t="s">
        <v>45</v>
      </c>
      <c r="B189" s="33"/>
      <c r="C189" s="1" t="s">
        <v>218</v>
      </c>
      <c r="D189" s="35" t="s">
        <v>163</v>
      </c>
      <c r="E189" s="33"/>
      <c r="F189" s="1" t="s">
        <v>218</v>
      </c>
      <c r="G189" s="33" t="s">
        <v>20</v>
      </c>
      <c r="H189" s="36" t="s">
        <v>221</v>
      </c>
      <c r="I189" s="7">
        <v>194.04262966000002</v>
      </c>
      <c r="J189" s="7">
        <v>35.403202406883416</v>
      </c>
      <c r="K189" s="7">
        <v>35.441954497668632</v>
      </c>
      <c r="L189" s="7">
        <v>35.381470148752513</v>
      </c>
      <c r="M189" s="7">
        <v>35.275026693018887</v>
      </c>
      <c r="N189" s="7">
        <v>35.142918800000004</v>
      </c>
      <c r="O189" s="7">
        <v>34.812434800000005</v>
      </c>
    </row>
    <row r="190" spans="1:15">
      <c r="A190" s="33" t="s">
        <v>53</v>
      </c>
      <c r="B190" s="33"/>
      <c r="C190" s="1" t="s">
        <v>220</v>
      </c>
      <c r="D190" s="35" t="s">
        <v>164</v>
      </c>
      <c r="E190" s="33"/>
      <c r="F190" s="1" t="s">
        <v>220</v>
      </c>
      <c r="G190" s="33" t="s">
        <v>20</v>
      </c>
      <c r="H190" s="36" t="s">
        <v>221</v>
      </c>
      <c r="I190" s="7">
        <v>9.7680000000088807E-3</v>
      </c>
      <c r="J190" s="7">
        <v>1.2175114285725354E-2</v>
      </c>
      <c r="K190" s="7">
        <v>1.2175114285725354E-2</v>
      </c>
      <c r="L190" s="7">
        <v>1.5341408163279254E-2</v>
      </c>
      <c r="M190" s="7">
        <v>1.9299275510221627E-2</v>
      </c>
      <c r="N190" s="7">
        <v>2.3257142857164001E-2</v>
      </c>
      <c r="O190" s="7">
        <v>2.3257142857164001E-2</v>
      </c>
    </row>
    <row r="191" spans="1:15">
      <c r="A191" s="33" t="s">
        <v>53</v>
      </c>
      <c r="B191" s="33"/>
      <c r="C191" s="1" t="s">
        <v>218</v>
      </c>
      <c r="D191" s="35" t="s">
        <v>164</v>
      </c>
      <c r="E191" s="33"/>
      <c r="F191" s="1" t="s">
        <v>218</v>
      </c>
      <c r="G191" s="33" t="s">
        <v>20</v>
      </c>
      <c r="H191" s="36" t="s">
        <v>221</v>
      </c>
      <c r="I191" s="7">
        <v>125.49635373000001</v>
      </c>
      <c r="J191" s="7">
        <v>39.979453158674382</v>
      </c>
      <c r="K191" s="7">
        <v>40.059141725825199</v>
      </c>
      <c r="L191" s="7">
        <v>40.474364877890189</v>
      </c>
      <c r="M191" s="7">
        <v>40.928757356468395</v>
      </c>
      <c r="N191" s="7">
        <v>41.325640478064514</v>
      </c>
      <c r="O191" s="7">
        <v>41.69971366</v>
      </c>
    </row>
    <row r="192" spans="1:15">
      <c r="A192" s="33" t="s">
        <v>54</v>
      </c>
      <c r="B192" s="33"/>
      <c r="C192" s="1" t="s">
        <v>220</v>
      </c>
      <c r="D192" s="35" t="s">
        <v>165</v>
      </c>
      <c r="E192" s="33"/>
      <c r="F192" s="1" t="s">
        <v>220</v>
      </c>
      <c r="G192" s="33" t="s">
        <v>20</v>
      </c>
      <c r="H192" s="36" t="s">
        <v>221</v>
      </c>
      <c r="I192" s="7">
        <v>1.26657142857258</v>
      </c>
      <c r="J192" s="7">
        <v>0.3078742857145656</v>
      </c>
      <c r="K192" s="7">
        <v>0.29569571428598318</v>
      </c>
      <c r="L192" s="7">
        <v>0.48957857142901656</v>
      </c>
      <c r="M192" s="7">
        <v>0.73193214285780828</v>
      </c>
      <c r="N192" s="7">
        <v>0.97428571428660005</v>
      </c>
      <c r="O192" s="7">
        <v>0.97428571428660005</v>
      </c>
    </row>
    <row r="193" spans="1:15">
      <c r="A193" s="33" t="s">
        <v>54</v>
      </c>
      <c r="B193" s="33"/>
      <c r="C193" s="1" t="s">
        <v>218</v>
      </c>
      <c r="D193" s="35" t="s">
        <v>165</v>
      </c>
      <c r="E193" s="33"/>
      <c r="F193" s="1" t="s">
        <v>218</v>
      </c>
      <c r="G193" s="33" t="s">
        <v>20</v>
      </c>
      <c r="H193" s="36" t="s">
        <v>221</v>
      </c>
      <c r="I193" s="7">
        <v>1.5641826860000003</v>
      </c>
      <c r="J193" s="7">
        <v>0.56798775440000016</v>
      </c>
      <c r="K193" s="7">
        <v>0.62739603080000006</v>
      </c>
      <c r="L193" s="7">
        <v>0.75125974000000006</v>
      </c>
      <c r="M193" s="7">
        <v>0.8409260420000001</v>
      </c>
      <c r="N193" s="7">
        <v>0.9315120320000001</v>
      </c>
      <c r="O193" s="7">
        <v>0.98358603200000005</v>
      </c>
    </row>
    <row r="194" spans="1:15">
      <c r="A194" s="33" t="s">
        <v>79</v>
      </c>
      <c r="B194" s="33"/>
      <c r="C194" s="1" t="s">
        <v>219</v>
      </c>
      <c r="D194" s="35" t="s">
        <v>166</v>
      </c>
      <c r="E194" s="33"/>
      <c r="F194" s="1" t="s">
        <v>219</v>
      </c>
      <c r="G194" s="33" t="s">
        <v>20</v>
      </c>
      <c r="H194" s="36" t="s">
        <v>221</v>
      </c>
      <c r="I194" s="7">
        <v>0.26487615000000003</v>
      </c>
      <c r="J194" s="7">
        <v>0.134079</v>
      </c>
      <c r="K194" s="7">
        <v>0.13171289999999999</v>
      </c>
      <c r="L194" s="7">
        <v>0.1146014805128204</v>
      </c>
      <c r="M194" s="7">
        <v>9.3212206153845872E-2</v>
      </c>
      <c r="N194" s="7">
        <v>8.3080444615384968E-2</v>
      </c>
      <c r="O194" s="7">
        <v>5.2685159999999995E-2</v>
      </c>
    </row>
    <row r="195" spans="1:15">
      <c r="A195" s="33" t="s">
        <v>79</v>
      </c>
      <c r="B195" s="33"/>
      <c r="C195" s="1" t="s">
        <v>220</v>
      </c>
      <c r="D195" s="35" t="s">
        <v>166</v>
      </c>
      <c r="E195" s="33"/>
      <c r="F195" s="1" t="s">
        <v>220</v>
      </c>
      <c r="G195" s="33" t="s">
        <v>20</v>
      </c>
      <c r="H195" s="36" t="s">
        <v>221</v>
      </c>
      <c r="I195" s="7">
        <v>1.3237792857154893</v>
      </c>
      <c r="J195" s="7">
        <v>0.63847142857200911</v>
      </c>
      <c r="K195" s="7">
        <v>0.62720428571485598</v>
      </c>
      <c r="L195" s="7">
        <v>0.54572133577583126</v>
      </c>
      <c r="M195" s="7">
        <v>0.4438676483520505</v>
      </c>
      <c r="N195" s="7">
        <v>0.39562116483552612</v>
      </c>
      <c r="O195" s="7">
        <v>0.25088171428594241</v>
      </c>
    </row>
    <row r="196" spans="1:15">
      <c r="A196" s="33" t="s">
        <v>79</v>
      </c>
      <c r="B196" s="33"/>
      <c r="C196" s="1" t="s">
        <v>218</v>
      </c>
      <c r="D196" s="35" t="s">
        <v>166</v>
      </c>
      <c r="E196" s="33"/>
      <c r="F196" s="1" t="s">
        <v>218</v>
      </c>
      <c r="G196" s="33" t="s">
        <v>20</v>
      </c>
      <c r="H196" s="36" t="s">
        <v>221</v>
      </c>
      <c r="I196" s="7">
        <v>0.58321912000000009</v>
      </c>
      <c r="J196" s="7">
        <v>0.28603520000000004</v>
      </c>
      <c r="K196" s="7">
        <v>0.28098751999999994</v>
      </c>
      <c r="L196" s="7">
        <v>0.24448315842735016</v>
      </c>
      <c r="M196" s="7">
        <v>0.19885270646153785</v>
      </c>
      <c r="N196" s="7">
        <v>0.17723828184615467</v>
      </c>
      <c r="O196" s="7">
        <v>0.11239500800000002</v>
      </c>
    </row>
    <row r="197" spans="1:15">
      <c r="A197" s="33" t="s">
        <v>85</v>
      </c>
      <c r="B197" s="33"/>
      <c r="C197" s="1" t="s">
        <v>220</v>
      </c>
      <c r="D197" s="35" t="s">
        <v>167</v>
      </c>
      <c r="E197" s="33"/>
      <c r="F197" s="1" t="s">
        <v>220</v>
      </c>
      <c r="G197" s="33" t="s">
        <v>20</v>
      </c>
      <c r="H197" s="36" t="s">
        <v>221</v>
      </c>
      <c r="I197" s="7">
        <v>2.2000000000020003E-3</v>
      </c>
      <c r="J197" s="7">
        <v>2.3571428571450004E-3</v>
      </c>
      <c r="K197" s="7">
        <v>2.3571428571450004E-3</v>
      </c>
      <c r="L197" s="7">
        <v>2.3571428571450004E-3</v>
      </c>
      <c r="M197" s="7">
        <v>2.3571428571450004E-3</v>
      </c>
      <c r="N197" s="7">
        <v>2.3571428571450004E-3</v>
      </c>
      <c r="O197" s="7">
        <v>2.3571428571450004E-3</v>
      </c>
    </row>
    <row r="198" spans="1:15">
      <c r="A198" s="33" t="s">
        <v>85</v>
      </c>
      <c r="B198" s="33"/>
      <c r="C198" s="1" t="s">
        <v>218</v>
      </c>
      <c r="D198" s="35" t="s">
        <v>167</v>
      </c>
      <c r="E198" s="33"/>
      <c r="F198" s="1" t="s">
        <v>218</v>
      </c>
      <c r="G198" s="33" t="s">
        <v>20</v>
      </c>
      <c r="H198" s="36" t="s">
        <v>221</v>
      </c>
      <c r="I198" s="7">
        <v>6.1600000000000009E-2</v>
      </c>
      <c r="J198" s="7">
        <v>0.13200000000000001</v>
      </c>
      <c r="K198" s="7">
        <v>0.13200000000000001</v>
      </c>
      <c r="L198" s="7">
        <v>0.13200000000000001</v>
      </c>
      <c r="M198" s="7">
        <v>0.13200000000000001</v>
      </c>
      <c r="N198" s="7">
        <v>0.13200000000000001</v>
      </c>
      <c r="O198" s="7">
        <v>0.13200000000000001</v>
      </c>
    </row>
    <row r="199" spans="1:15">
      <c r="A199" s="35" t="s">
        <v>86</v>
      </c>
      <c r="B199" s="33"/>
      <c r="C199" s="1" t="s">
        <v>219</v>
      </c>
      <c r="D199" s="69" t="s">
        <v>222</v>
      </c>
      <c r="E199" s="33"/>
      <c r="F199" s="1" t="s">
        <v>219</v>
      </c>
      <c r="G199" s="33" t="s">
        <v>20</v>
      </c>
      <c r="H199" s="36" t="s">
        <v>221</v>
      </c>
      <c r="I199" s="7">
        <v>5.21525052631579E-2</v>
      </c>
      <c r="J199" s="7">
        <v>5.6317828947368427E-2</v>
      </c>
      <c r="K199" s="7">
        <v>6.2447434210526315E-2</v>
      </c>
      <c r="L199" s="7">
        <v>6.2447434210526315E-2</v>
      </c>
      <c r="M199" s="7">
        <v>6.2447434210526315E-2</v>
      </c>
      <c r="N199" s="7">
        <v>6.2447434210526315E-2</v>
      </c>
      <c r="O199" s="7">
        <v>6.2447434210526315E-2</v>
      </c>
    </row>
    <row r="200" spans="1:15">
      <c r="A200" s="35" t="s">
        <v>86</v>
      </c>
      <c r="B200" s="33"/>
      <c r="C200" s="1" t="s">
        <v>220</v>
      </c>
      <c r="D200" s="69" t="s">
        <v>222</v>
      </c>
      <c r="E200" s="33"/>
      <c r="F200" s="1" t="s">
        <v>220</v>
      </c>
      <c r="G200" s="33" t="s">
        <v>20</v>
      </c>
      <c r="H200" s="36" t="s">
        <v>221</v>
      </c>
      <c r="I200" s="7">
        <v>0.86917533834665484</v>
      </c>
      <c r="J200" s="7">
        <v>0.8682986466173308</v>
      </c>
      <c r="K200" s="7">
        <v>0.98246541353472772</v>
      </c>
      <c r="L200" s="7">
        <v>0.98246541353472772</v>
      </c>
      <c r="M200" s="7">
        <v>0.98246541353472772</v>
      </c>
      <c r="N200" s="7">
        <v>0.98246541353472772</v>
      </c>
      <c r="O200" s="7">
        <v>0.98246541353472772</v>
      </c>
    </row>
    <row r="201" spans="1:15">
      <c r="A201" s="35" t="s">
        <v>86</v>
      </c>
      <c r="B201" s="33"/>
      <c r="C201" s="1" t="s">
        <v>218</v>
      </c>
      <c r="D201" s="69" t="s">
        <v>222</v>
      </c>
      <c r="E201" s="33"/>
      <c r="F201" s="1" t="s">
        <v>218</v>
      </c>
      <c r="G201" s="33" t="s">
        <v>20</v>
      </c>
      <c r="H201" s="36" t="s">
        <v>221</v>
      </c>
      <c r="I201" s="7">
        <v>0.19646935578947369</v>
      </c>
      <c r="J201" s="7">
        <v>0.19741873684210526</v>
      </c>
      <c r="K201" s="7">
        <v>0.22302905263157899</v>
      </c>
      <c r="L201" s="7">
        <v>0.22302905263157899</v>
      </c>
      <c r="M201" s="7">
        <v>0.22302905263157899</v>
      </c>
      <c r="N201" s="7">
        <v>0.22302905263157899</v>
      </c>
      <c r="O201" s="7">
        <v>0.22302905263157899</v>
      </c>
    </row>
    <row r="204" spans="1:15" s="38" customFormat="1">
      <c r="I204" s="38">
        <f>SUM(I10:I201)</f>
        <v>53581.194000860603</v>
      </c>
    </row>
    <row r="205" spans="1:15" s="38" customFormat="1"/>
    <row r="206" spans="1:15" s="38" customFormat="1"/>
    <row r="207" spans="1:15" s="38" customFormat="1">
      <c r="I207" s="88"/>
    </row>
    <row r="208" spans="1:15" s="38" customFormat="1">
      <c r="I208" s="88"/>
    </row>
    <row r="209" s="38" customFormat="1"/>
    <row r="210" s="38" customFormat="1"/>
    <row r="211" s="38" customFormat="1"/>
    <row r="212" s="38" customFormat="1"/>
    <row r="213" s="38" customFormat="1"/>
    <row r="214" s="38" customFormat="1"/>
    <row r="215" s="38" customFormat="1"/>
    <row r="216" s="38" customFormat="1"/>
    <row r="217" s="38" customFormat="1"/>
    <row r="218" s="38" customFormat="1"/>
    <row r="219" s="38" customFormat="1"/>
    <row r="220" s="38" customFormat="1"/>
    <row r="227" s="38" customFormat="1"/>
    <row r="228" s="38" customFormat="1"/>
    <row r="229" s="38" customFormat="1"/>
    <row r="230" s="38" customFormat="1"/>
    <row r="231" s="38" customFormat="1"/>
    <row r="232" s="38" customFormat="1"/>
    <row r="233" s="38" customFormat="1"/>
    <row r="234" s="38" customFormat="1"/>
    <row r="235" s="38" customFormat="1"/>
    <row r="236" s="38" customFormat="1"/>
    <row r="237" s="38" customFormat="1"/>
    <row r="238" s="38" customFormat="1"/>
    <row r="239" s="38" customFormat="1"/>
    <row r="240" s="38" customFormat="1"/>
    <row r="241" s="38" customFormat="1"/>
    <row r="242" s="38" customFormat="1"/>
    <row r="310" spans="1:1">
      <c r="A310" s="10"/>
    </row>
    <row r="312" spans="1:1">
      <c r="A312" s="10"/>
    </row>
    <row r="338" spans="1:1">
      <c r="A338" s="10"/>
    </row>
    <row r="340" spans="1:1">
      <c r="A340" s="10"/>
    </row>
    <row r="374" spans="1:1">
      <c r="A374" s="10"/>
    </row>
    <row r="376" spans="1:1">
      <c r="A376" s="10"/>
    </row>
    <row r="378" spans="1:1">
      <c r="A378" s="10"/>
    </row>
  </sheetData>
  <sortState ref="A197:O219">
    <sortCondition ref="A197:A219"/>
    <sortCondition ref="C197:C219"/>
  </sortState>
  <conditionalFormatting sqref="I10:O201">
    <cfRule type="cellIs" dxfId="1" priority="2" operator="equal">
      <formula>0</formula>
    </cfRule>
    <cfRule type="cellIs" dxfId="0" priority="1" operator="equal">
      <formula>"NO"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24"/>
  <sheetViews>
    <sheetView zoomScale="80" zoomScaleNormal="80" workbookViewId="0">
      <pane ySplit="2325" topLeftCell="A22" activePane="bottomLeft"/>
      <selection activeCell="F6" sqref="F6:O6"/>
      <selection pane="bottomLeft" activeCell="G47" sqref="G47:O47"/>
    </sheetView>
  </sheetViews>
  <sheetFormatPr baseColWidth="10" defaultRowHeight="12.75"/>
  <cols>
    <col min="2" max="2" width="29.85546875" customWidth="1"/>
    <col min="3" max="3" width="24.42578125" bestFit="1" customWidth="1"/>
    <col min="4" max="4" width="23.85546875" customWidth="1"/>
    <col min="5" max="5" width="28.5703125" bestFit="1" customWidth="1"/>
    <col min="6" max="6" width="24.42578125" bestFit="1" customWidth="1"/>
    <col min="7" max="7" width="7.140625" bestFit="1" customWidth="1"/>
    <col min="8" max="8" width="20.7109375" bestFit="1" customWidth="1"/>
    <col min="9" max="15" width="12.7109375" customWidth="1"/>
  </cols>
  <sheetData>
    <row r="1" spans="1:18">
      <c r="A1" t="s">
        <v>191</v>
      </c>
    </row>
    <row r="6" spans="1:18">
      <c r="A6" s="37">
        <v>1</v>
      </c>
      <c r="B6" s="37">
        <f t="shared" ref="B6:O6" si="0">A6+1</f>
        <v>2</v>
      </c>
      <c r="C6" s="37">
        <f t="shared" si="0"/>
        <v>3</v>
      </c>
      <c r="D6" s="37">
        <f t="shared" si="0"/>
        <v>4</v>
      </c>
      <c r="E6" s="37">
        <f t="shared" si="0"/>
        <v>5</v>
      </c>
      <c r="F6" s="37">
        <f t="shared" si="0"/>
        <v>6</v>
      </c>
      <c r="G6" s="37">
        <f t="shared" si="0"/>
        <v>7</v>
      </c>
      <c r="H6" s="37">
        <f t="shared" si="0"/>
        <v>8</v>
      </c>
      <c r="I6" s="37">
        <f t="shared" si="0"/>
        <v>9</v>
      </c>
      <c r="J6" s="37">
        <f t="shared" si="0"/>
        <v>10</v>
      </c>
      <c r="K6" s="37">
        <f t="shared" si="0"/>
        <v>11</v>
      </c>
      <c r="L6" s="37">
        <f t="shared" si="0"/>
        <v>12</v>
      </c>
      <c r="M6" s="37">
        <f t="shared" si="0"/>
        <v>13</v>
      </c>
      <c r="N6" s="37">
        <f t="shared" si="0"/>
        <v>14</v>
      </c>
      <c r="O6" s="37">
        <f t="shared" si="0"/>
        <v>15</v>
      </c>
    </row>
    <row r="7" spans="1:18">
      <c r="I7" t="s">
        <v>206</v>
      </c>
      <c r="J7" t="s">
        <v>207</v>
      </c>
      <c r="K7" t="s">
        <v>208</v>
      </c>
    </row>
    <row r="8" spans="1:18" s="62" customFormat="1">
      <c r="A8" s="30"/>
      <c r="B8" s="30"/>
      <c r="C8" s="30"/>
      <c r="D8" s="30"/>
      <c r="E8" s="30" t="s">
        <v>170</v>
      </c>
      <c r="F8" s="30"/>
      <c r="G8" s="30"/>
      <c r="H8" s="30"/>
      <c r="I8" s="30" t="s">
        <v>224</v>
      </c>
      <c r="J8" s="30" t="s">
        <v>224</v>
      </c>
      <c r="K8" s="30" t="s">
        <v>224</v>
      </c>
      <c r="L8" s="30" t="s">
        <v>224</v>
      </c>
      <c r="M8" s="30" t="s">
        <v>224</v>
      </c>
      <c r="N8" s="30" t="s">
        <v>224</v>
      </c>
      <c r="O8" s="30" t="s">
        <v>224</v>
      </c>
    </row>
    <row r="9" spans="1:18" s="62" customFormat="1">
      <c r="A9" s="30" t="s">
        <v>225</v>
      </c>
      <c r="B9" s="30" t="s">
        <v>0</v>
      </c>
      <c r="C9" s="30" t="s">
        <v>223</v>
      </c>
      <c r="D9" s="30" t="s">
        <v>169</v>
      </c>
      <c r="E9" s="30" t="s">
        <v>144</v>
      </c>
      <c r="F9" s="31" t="s">
        <v>145</v>
      </c>
      <c r="G9" s="30" t="s">
        <v>1</v>
      </c>
      <c r="H9" s="30" t="s">
        <v>2</v>
      </c>
      <c r="I9" s="30">
        <v>1990</v>
      </c>
      <c r="J9" s="30">
        <f>K9-1</f>
        <v>2020</v>
      </c>
      <c r="K9" s="30">
        <v>2021</v>
      </c>
      <c r="L9" s="30">
        <v>2025</v>
      </c>
      <c r="M9" s="30">
        <v>2030</v>
      </c>
      <c r="N9" s="30">
        <v>2035</v>
      </c>
      <c r="O9" s="30">
        <v>2050</v>
      </c>
    </row>
    <row r="10" spans="1:18">
      <c r="A10" s="7" t="s">
        <v>61</v>
      </c>
      <c r="B10" s="3" t="s">
        <v>257</v>
      </c>
      <c r="C10" s="1" t="s">
        <v>14</v>
      </c>
      <c r="D10" s="13" t="s">
        <v>152</v>
      </c>
      <c r="E10" s="7"/>
      <c r="F10" s="12" t="s">
        <v>14</v>
      </c>
      <c r="G10" s="7" t="s">
        <v>20</v>
      </c>
      <c r="H10" s="18" t="s">
        <v>202</v>
      </c>
      <c r="I10" s="7">
        <v>11.2</v>
      </c>
      <c r="J10" s="7">
        <v>11.2</v>
      </c>
      <c r="K10" s="7">
        <v>11.2</v>
      </c>
      <c r="L10" s="7">
        <v>0</v>
      </c>
      <c r="M10" s="7">
        <v>0</v>
      </c>
      <c r="N10" s="7">
        <v>0</v>
      </c>
      <c r="O10" s="7">
        <v>0</v>
      </c>
    </row>
    <row r="11" spans="1:18">
      <c r="A11" s="7" t="s">
        <v>61</v>
      </c>
      <c r="B11" s="3" t="s">
        <v>257</v>
      </c>
      <c r="C11" s="1" t="s">
        <v>16</v>
      </c>
      <c r="D11" s="13" t="s">
        <v>152</v>
      </c>
      <c r="E11" s="7"/>
      <c r="F11" s="12" t="s">
        <v>16</v>
      </c>
      <c r="G11" s="7" t="s">
        <v>20</v>
      </c>
      <c r="H11" s="18" t="s">
        <v>202</v>
      </c>
      <c r="I11" s="7">
        <v>2.6248949600000002</v>
      </c>
      <c r="J11" s="7">
        <v>2.617959645</v>
      </c>
      <c r="K11" s="7">
        <v>2.6131970650000005</v>
      </c>
      <c r="L11" s="7">
        <v>0</v>
      </c>
      <c r="M11" s="7">
        <v>0</v>
      </c>
      <c r="N11" s="7">
        <v>0</v>
      </c>
      <c r="O11" s="7">
        <v>0</v>
      </c>
    </row>
    <row r="12" spans="1:18">
      <c r="A12" s="7" t="s">
        <v>62</v>
      </c>
      <c r="B12" s="3" t="s">
        <v>257</v>
      </c>
      <c r="C12" s="1" t="s">
        <v>16</v>
      </c>
      <c r="D12" s="13" t="s">
        <v>153</v>
      </c>
      <c r="E12" s="7"/>
      <c r="F12" s="12" t="s">
        <v>16</v>
      </c>
      <c r="G12" s="7" t="s">
        <v>20</v>
      </c>
      <c r="H12" s="18" t="s">
        <v>202</v>
      </c>
      <c r="I12" s="7">
        <v>32.550404475000001</v>
      </c>
      <c r="J12" s="7">
        <v>37.51727059000001</v>
      </c>
      <c r="K12" s="7">
        <v>37.745974335000007</v>
      </c>
      <c r="L12" s="7">
        <v>0</v>
      </c>
      <c r="M12" s="7">
        <v>0</v>
      </c>
      <c r="N12" s="7">
        <v>0</v>
      </c>
      <c r="O12" s="7">
        <v>0</v>
      </c>
    </row>
    <row r="13" spans="1:18">
      <c r="A13" s="7" t="s">
        <v>63</v>
      </c>
      <c r="B13" s="3" t="s">
        <v>257</v>
      </c>
      <c r="C13" s="1" t="s">
        <v>16</v>
      </c>
      <c r="D13" s="13" t="s">
        <v>154</v>
      </c>
      <c r="E13" s="7"/>
      <c r="F13" s="12" t="s">
        <v>16</v>
      </c>
      <c r="G13" s="7" t="s">
        <v>20</v>
      </c>
      <c r="H13" s="18" t="s">
        <v>202</v>
      </c>
      <c r="I13" s="7">
        <v>7.3788648450000007</v>
      </c>
      <c r="J13" s="7">
        <v>7.3620871650000002</v>
      </c>
      <c r="K13" s="7">
        <v>7.4069691550000005</v>
      </c>
      <c r="L13" s="7">
        <v>0</v>
      </c>
      <c r="M13" s="7">
        <v>0</v>
      </c>
      <c r="N13" s="7">
        <v>0</v>
      </c>
      <c r="O13" s="7">
        <v>0</v>
      </c>
    </row>
    <row r="14" spans="1:18">
      <c r="A14" s="7" t="s">
        <v>64</v>
      </c>
      <c r="B14" s="3" t="s">
        <v>257</v>
      </c>
      <c r="C14" s="1" t="s">
        <v>14</v>
      </c>
      <c r="D14" s="13" t="s">
        <v>124</v>
      </c>
      <c r="E14" s="7"/>
      <c r="F14" s="12" t="s">
        <v>14</v>
      </c>
      <c r="G14" s="7" t="s">
        <v>20</v>
      </c>
      <c r="H14" s="18" t="s">
        <v>202</v>
      </c>
      <c r="I14" s="7">
        <v>20.537498941680003</v>
      </c>
      <c r="J14" s="7">
        <v>2.1450242226</v>
      </c>
      <c r="K14" s="7">
        <v>2.3284379356000007</v>
      </c>
      <c r="L14" s="7">
        <v>3.5552810374928003</v>
      </c>
      <c r="M14" s="7">
        <v>3.5552810374928003</v>
      </c>
      <c r="N14" s="7">
        <v>3.5552810374928003</v>
      </c>
      <c r="O14" s="7">
        <v>3.5552810374928003</v>
      </c>
    </row>
    <row r="15" spans="1:18">
      <c r="A15" s="7" t="s">
        <v>64</v>
      </c>
      <c r="B15" s="3" t="s">
        <v>257</v>
      </c>
      <c r="C15" s="1" t="s">
        <v>16</v>
      </c>
      <c r="D15" s="13" t="s">
        <v>124</v>
      </c>
      <c r="E15" s="7"/>
      <c r="F15" s="12" t="s">
        <v>16</v>
      </c>
      <c r="G15" s="7" t="s">
        <v>20</v>
      </c>
      <c r="H15" s="18" t="s">
        <v>202</v>
      </c>
      <c r="I15" s="7">
        <v>9.4255087348499984</v>
      </c>
      <c r="J15" s="7">
        <v>0.59178895555000011</v>
      </c>
      <c r="K15" s="7">
        <v>0.68227261989999999</v>
      </c>
      <c r="L15" s="7">
        <v>1.3352792326102996</v>
      </c>
      <c r="M15" s="7">
        <v>1.3352792326102996</v>
      </c>
      <c r="N15" s="7">
        <v>1.3352792326102996</v>
      </c>
      <c r="O15" s="7">
        <v>1.3352792326102996</v>
      </c>
    </row>
    <row r="16" spans="1:18">
      <c r="A16" s="7" t="s">
        <v>65</v>
      </c>
      <c r="B16" s="3" t="s">
        <v>257</v>
      </c>
      <c r="C16" s="1" t="s">
        <v>15</v>
      </c>
      <c r="D16" s="13" t="s">
        <v>125</v>
      </c>
      <c r="E16" s="7"/>
      <c r="F16" s="19" t="s">
        <v>155</v>
      </c>
      <c r="G16" s="28" t="s">
        <v>20</v>
      </c>
      <c r="H16" s="26" t="s">
        <v>202</v>
      </c>
      <c r="I16" s="28">
        <v>-1113.2773844720011</v>
      </c>
      <c r="J16" s="28">
        <v>-2173.8512488293354</v>
      </c>
      <c r="K16" s="28">
        <v>-2331.8585896210016</v>
      </c>
      <c r="L16" s="28">
        <v>0</v>
      </c>
      <c r="M16" s="28">
        <v>0</v>
      </c>
      <c r="N16" s="28">
        <v>0</v>
      </c>
      <c r="O16" s="28">
        <v>0</v>
      </c>
      <c r="P16" s="50"/>
      <c r="Q16" s="50"/>
      <c r="R16" s="50"/>
    </row>
    <row r="17" spans="1:18">
      <c r="A17" s="7" t="s">
        <v>66</v>
      </c>
      <c r="B17" s="3" t="s">
        <v>257</v>
      </c>
      <c r="C17" s="1" t="s">
        <v>15</v>
      </c>
      <c r="D17" s="13" t="s">
        <v>126</v>
      </c>
      <c r="E17" s="7"/>
      <c r="F17" s="19" t="s">
        <v>155</v>
      </c>
      <c r="G17" s="28" t="s">
        <v>20</v>
      </c>
      <c r="H17" s="29" t="s">
        <v>202</v>
      </c>
      <c r="I17" s="28">
        <v>-539.54816358300025</v>
      </c>
      <c r="J17" s="28">
        <v>-636.19375309380052</v>
      </c>
      <c r="K17" s="28">
        <v>-627.89361999393418</v>
      </c>
      <c r="L17" s="28">
        <v>0</v>
      </c>
      <c r="M17" s="28">
        <v>0</v>
      </c>
      <c r="N17" s="28">
        <v>0</v>
      </c>
      <c r="O17" s="28">
        <v>0</v>
      </c>
      <c r="P17" s="50"/>
      <c r="Q17" s="50"/>
      <c r="R17" s="50"/>
    </row>
    <row r="18" spans="1:18">
      <c r="A18" s="7" t="s">
        <v>67</v>
      </c>
      <c r="B18" s="7" t="s">
        <v>229</v>
      </c>
      <c r="C18" s="1" t="s">
        <v>15</v>
      </c>
      <c r="D18" s="13" t="s">
        <v>127</v>
      </c>
      <c r="E18" s="7" t="s">
        <v>229</v>
      </c>
      <c r="F18" s="19" t="s">
        <v>155</v>
      </c>
      <c r="G18" s="48" t="s">
        <v>20</v>
      </c>
      <c r="H18" s="49" t="s">
        <v>202</v>
      </c>
      <c r="I18" s="48">
        <v>-66.83043858700006</v>
      </c>
      <c r="J18" s="48">
        <v>0</v>
      </c>
      <c r="K18" s="48">
        <v>-168.89240896366681</v>
      </c>
      <c r="L18" s="48">
        <v>0</v>
      </c>
      <c r="M18" s="48">
        <v>0</v>
      </c>
      <c r="N18" s="48">
        <v>0</v>
      </c>
      <c r="O18" s="48">
        <v>0</v>
      </c>
      <c r="P18" s="51"/>
      <c r="Q18" s="51"/>
      <c r="R18" s="51"/>
    </row>
    <row r="19" spans="1:18">
      <c r="A19" s="7" t="s">
        <v>67</v>
      </c>
      <c r="B19" s="7" t="s">
        <v>230</v>
      </c>
      <c r="C19" s="1" t="s">
        <v>15</v>
      </c>
      <c r="D19" s="13" t="s">
        <v>127</v>
      </c>
      <c r="E19" s="7" t="s">
        <v>230</v>
      </c>
      <c r="F19" s="19" t="s">
        <v>155</v>
      </c>
      <c r="G19" s="48" t="s">
        <v>20</v>
      </c>
      <c r="H19" s="49" t="s">
        <v>202</v>
      </c>
      <c r="I19" s="48">
        <v>0</v>
      </c>
      <c r="J19" s="48">
        <v>132.10600697800012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51"/>
      <c r="Q19" s="51"/>
      <c r="R19" s="51"/>
    </row>
    <row r="20" spans="1:18">
      <c r="A20" s="7" t="s">
        <v>67</v>
      </c>
      <c r="B20" s="7" t="s">
        <v>231</v>
      </c>
      <c r="C20" s="1" t="s">
        <v>15</v>
      </c>
      <c r="D20" s="13" t="s">
        <v>127</v>
      </c>
      <c r="E20" s="7" t="s">
        <v>231</v>
      </c>
      <c r="F20" s="19" t="s">
        <v>155</v>
      </c>
      <c r="G20" s="48" t="s">
        <v>20</v>
      </c>
      <c r="H20" s="49" t="s">
        <v>202</v>
      </c>
      <c r="I20" s="48">
        <v>63.078088091333385</v>
      </c>
      <c r="J20" s="48">
        <v>-129.1077723870001</v>
      </c>
      <c r="K20" s="48">
        <v>24.384273884666694</v>
      </c>
      <c r="L20" s="48">
        <v>0</v>
      </c>
      <c r="M20" s="48">
        <v>0</v>
      </c>
      <c r="N20" s="48">
        <v>0</v>
      </c>
      <c r="O20" s="48">
        <v>0</v>
      </c>
      <c r="P20" s="51"/>
      <c r="Q20" s="51"/>
      <c r="R20" s="51"/>
    </row>
    <row r="21" spans="1:18">
      <c r="A21" s="7" t="s">
        <v>67</v>
      </c>
      <c r="B21" s="7" t="s">
        <v>232</v>
      </c>
      <c r="C21" s="1" t="s">
        <v>15</v>
      </c>
      <c r="D21" s="13" t="s">
        <v>127</v>
      </c>
      <c r="E21" s="7" t="s">
        <v>232</v>
      </c>
      <c r="F21" s="19" t="s">
        <v>155</v>
      </c>
      <c r="G21" s="48" t="s">
        <v>20</v>
      </c>
      <c r="H21" s="49" t="s">
        <v>202</v>
      </c>
      <c r="I21" s="48">
        <v>401.98702445000032</v>
      </c>
      <c r="J21" s="48">
        <v>337.21185278000041</v>
      </c>
      <c r="K21" s="48">
        <v>335.19540827666697</v>
      </c>
      <c r="L21" s="48">
        <v>0</v>
      </c>
      <c r="M21" s="48">
        <v>0</v>
      </c>
      <c r="N21" s="48">
        <v>0</v>
      </c>
      <c r="O21" s="48">
        <v>0</v>
      </c>
      <c r="P21" s="51"/>
      <c r="Q21" s="51"/>
      <c r="R21" s="51"/>
    </row>
    <row r="22" spans="1:18">
      <c r="A22" s="7" t="s">
        <v>67</v>
      </c>
      <c r="B22" s="7" t="s">
        <v>258</v>
      </c>
      <c r="C22" s="1" t="s">
        <v>15</v>
      </c>
      <c r="D22" s="13" t="s">
        <v>127</v>
      </c>
      <c r="E22" s="7" t="s">
        <v>258</v>
      </c>
      <c r="F22" s="19" t="s">
        <v>155</v>
      </c>
      <c r="G22" s="48" t="s">
        <v>20</v>
      </c>
      <c r="H22" s="49" t="s">
        <v>202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51"/>
      <c r="Q22" s="51"/>
      <c r="R22" s="51"/>
    </row>
    <row r="23" spans="1:18">
      <c r="A23" s="7" t="s">
        <v>68</v>
      </c>
      <c r="B23" s="7" t="s">
        <v>229</v>
      </c>
      <c r="C23" s="1" t="s">
        <v>15</v>
      </c>
      <c r="D23" s="13" t="s">
        <v>128</v>
      </c>
      <c r="E23" s="7" t="s">
        <v>229</v>
      </c>
      <c r="F23" s="19" t="s">
        <v>155</v>
      </c>
      <c r="G23" s="48" t="s">
        <v>20</v>
      </c>
      <c r="H23" s="49" t="s">
        <v>202</v>
      </c>
      <c r="I23" s="48">
        <v>-4.8671884250000055</v>
      </c>
      <c r="J23" s="48">
        <v>-16.721345091000014</v>
      </c>
      <c r="K23" s="48">
        <v>-17.595278239000017</v>
      </c>
      <c r="L23" s="48">
        <v>0</v>
      </c>
      <c r="M23" s="48">
        <v>0</v>
      </c>
      <c r="N23" s="48">
        <v>0</v>
      </c>
      <c r="O23" s="48">
        <v>0</v>
      </c>
      <c r="P23" s="51"/>
      <c r="Q23" s="51"/>
      <c r="R23" s="51"/>
    </row>
    <row r="24" spans="1:18">
      <c r="A24" s="7" t="s">
        <v>68</v>
      </c>
      <c r="B24" s="7" t="s">
        <v>230</v>
      </c>
      <c r="C24" s="1" t="s">
        <v>15</v>
      </c>
      <c r="D24" s="13" t="s">
        <v>128</v>
      </c>
      <c r="E24" s="7" t="s">
        <v>230</v>
      </c>
      <c r="F24" s="19" t="s">
        <v>155</v>
      </c>
      <c r="G24" s="48" t="s">
        <v>20</v>
      </c>
      <c r="H24" s="49" t="s">
        <v>202</v>
      </c>
      <c r="I24" s="48">
        <v>11.255077452666677</v>
      </c>
      <c r="J24" s="48">
        <v>2.743546109333336</v>
      </c>
      <c r="K24" s="48">
        <v>2.689736672333336</v>
      </c>
      <c r="L24" s="48">
        <v>0</v>
      </c>
      <c r="M24" s="48">
        <v>0</v>
      </c>
      <c r="N24" s="48">
        <v>0</v>
      </c>
      <c r="O24" s="48">
        <v>0</v>
      </c>
      <c r="P24" s="51"/>
      <c r="Q24" s="51"/>
      <c r="R24" s="51"/>
    </row>
    <row r="25" spans="1:18">
      <c r="A25" s="7" t="s">
        <v>68</v>
      </c>
      <c r="B25" s="7" t="s">
        <v>231</v>
      </c>
      <c r="C25" s="1" t="s">
        <v>15</v>
      </c>
      <c r="D25" s="13" t="s">
        <v>128</v>
      </c>
      <c r="E25" s="7" t="s">
        <v>231</v>
      </c>
      <c r="F25" s="19" t="s">
        <v>155</v>
      </c>
      <c r="G25" s="48" t="s">
        <v>20</v>
      </c>
      <c r="H25" s="49" t="s">
        <v>202</v>
      </c>
      <c r="I25" s="48">
        <v>18.552742281333355</v>
      </c>
      <c r="J25" s="48">
        <v>29.605884363000023</v>
      </c>
      <c r="K25" s="48">
        <v>30.173957572000027</v>
      </c>
      <c r="L25" s="48">
        <v>0</v>
      </c>
      <c r="M25" s="48">
        <v>0</v>
      </c>
      <c r="N25" s="48">
        <v>0</v>
      </c>
      <c r="O25" s="48">
        <v>0</v>
      </c>
      <c r="P25" s="51"/>
      <c r="Q25" s="51"/>
      <c r="R25" s="51"/>
    </row>
    <row r="26" spans="1:18">
      <c r="A26" s="7" t="s">
        <v>68</v>
      </c>
      <c r="B26" s="7" t="s">
        <v>232</v>
      </c>
      <c r="C26" s="1" t="s">
        <v>15</v>
      </c>
      <c r="D26" s="13" t="s">
        <v>128</v>
      </c>
      <c r="E26" s="7" t="s">
        <v>232</v>
      </c>
      <c r="F26" s="19" t="s">
        <v>155</v>
      </c>
      <c r="G26" s="48" t="s">
        <v>20</v>
      </c>
      <c r="H26" s="49" t="s">
        <v>202</v>
      </c>
      <c r="I26" s="48">
        <v>7.0635090606666733</v>
      </c>
      <c r="J26" s="48">
        <v>14.521373903666678</v>
      </c>
      <c r="K26" s="48">
        <v>15.133680617000014</v>
      </c>
      <c r="L26" s="48">
        <v>0</v>
      </c>
      <c r="M26" s="48">
        <v>0</v>
      </c>
      <c r="N26" s="48">
        <v>0</v>
      </c>
      <c r="O26" s="48">
        <v>0</v>
      </c>
      <c r="P26" s="51"/>
      <c r="Q26" s="51"/>
      <c r="R26" s="51"/>
    </row>
    <row r="27" spans="1:18">
      <c r="A27" s="7" t="s">
        <v>68</v>
      </c>
      <c r="B27" s="7" t="s">
        <v>258</v>
      </c>
      <c r="C27" s="1" t="s">
        <v>15</v>
      </c>
      <c r="D27" s="13" t="s">
        <v>128</v>
      </c>
      <c r="E27" s="7" t="s">
        <v>258</v>
      </c>
      <c r="F27" s="19" t="s">
        <v>155</v>
      </c>
      <c r="G27" s="48" t="s">
        <v>20</v>
      </c>
      <c r="H27" s="49" t="s">
        <v>202</v>
      </c>
      <c r="I27" s="48">
        <v>0.70892413166666735</v>
      </c>
      <c r="J27" s="48">
        <v>0.20558572466666686</v>
      </c>
      <c r="K27" s="48">
        <v>0.20233424200000016</v>
      </c>
      <c r="L27" s="48">
        <v>0</v>
      </c>
      <c r="M27" s="48">
        <v>0</v>
      </c>
      <c r="N27" s="48">
        <v>0</v>
      </c>
      <c r="O27" s="48">
        <v>0</v>
      </c>
      <c r="P27" s="51"/>
      <c r="Q27" s="51"/>
      <c r="R27" s="51"/>
    </row>
    <row r="28" spans="1:18">
      <c r="A28" s="7" t="s">
        <v>69</v>
      </c>
      <c r="B28" s="7" t="s">
        <v>229</v>
      </c>
      <c r="C28" s="1" t="s">
        <v>15</v>
      </c>
      <c r="D28" s="13" t="s">
        <v>129</v>
      </c>
      <c r="E28" s="7" t="s">
        <v>229</v>
      </c>
      <c r="F28" s="19" t="s">
        <v>155</v>
      </c>
      <c r="G28" s="28" t="s">
        <v>20</v>
      </c>
      <c r="H28" s="29" t="s">
        <v>202</v>
      </c>
      <c r="I28" s="28">
        <v>-115.19028204200012</v>
      </c>
      <c r="J28" s="28">
        <v>-182.83127643366686</v>
      </c>
      <c r="K28" s="28">
        <v>-286.90261718433362</v>
      </c>
      <c r="L28" s="28">
        <v>0</v>
      </c>
      <c r="M28" s="28">
        <v>0</v>
      </c>
      <c r="N28" s="28">
        <v>0</v>
      </c>
      <c r="O28" s="28">
        <v>0</v>
      </c>
      <c r="P28" s="50"/>
      <c r="Q28" s="50"/>
      <c r="R28" s="50"/>
    </row>
    <row r="29" spans="1:18">
      <c r="A29" s="7" t="s">
        <v>69</v>
      </c>
      <c r="B29" s="7" t="s">
        <v>230</v>
      </c>
      <c r="C29" s="1" t="s">
        <v>15</v>
      </c>
      <c r="D29" s="13" t="s">
        <v>129</v>
      </c>
      <c r="E29" s="7" t="s">
        <v>230</v>
      </c>
      <c r="F29" s="19" t="s">
        <v>155</v>
      </c>
      <c r="G29" s="28" t="s">
        <v>20</v>
      </c>
      <c r="H29" s="29" t="s">
        <v>202</v>
      </c>
      <c r="I29" s="28">
        <v>144.50368945466681</v>
      </c>
      <c r="J29" s="28">
        <v>118.53959882600009</v>
      </c>
      <c r="K29" s="28">
        <v>56.506913503333386</v>
      </c>
      <c r="L29" s="28">
        <v>0</v>
      </c>
      <c r="M29" s="28">
        <v>0</v>
      </c>
      <c r="N29" s="28">
        <v>0</v>
      </c>
      <c r="O29" s="28">
        <v>0</v>
      </c>
      <c r="P29" s="50"/>
      <c r="Q29" s="50"/>
      <c r="R29" s="50"/>
    </row>
    <row r="30" spans="1:18">
      <c r="A30" s="7" t="s">
        <v>69</v>
      </c>
      <c r="B30" s="7" t="s">
        <v>231</v>
      </c>
      <c r="C30" s="1" t="s">
        <v>15</v>
      </c>
      <c r="D30" s="13" t="s">
        <v>129</v>
      </c>
      <c r="E30" s="7" t="s">
        <v>231</v>
      </c>
      <c r="F30" s="19" t="s">
        <v>155</v>
      </c>
      <c r="G30" s="28" t="s">
        <v>20</v>
      </c>
      <c r="H30" s="29" t="s">
        <v>202</v>
      </c>
      <c r="I30" s="28">
        <v>-207.85603790233353</v>
      </c>
      <c r="J30" s="28">
        <v>176.6654886113335</v>
      </c>
      <c r="K30" s="28">
        <v>203.0077906230002</v>
      </c>
      <c r="L30" s="28">
        <v>0</v>
      </c>
      <c r="M30" s="28">
        <v>0</v>
      </c>
      <c r="N30" s="28">
        <v>0</v>
      </c>
      <c r="O30" s="28">
        <v>0</v>
      </c>
      <c r="P30" s="50"/>
      <c r="Q30" s="50"/>
      <c r="R30" s="50"/>
    </row>
    <row r="31" spans="1:18">
      <c r="A31" s="7" t="s">
        <v>69</v>
      </c>
      <c r="B31" s="7" t="s">
        <v>232</v>
      </c>
      <c r="C31" s="1" t="s">
        <v>15</v>
      </c>
      <c r="D31" s="13" t="s">
        <v>129</v>
      </c>
      <c r="E31" s="7" t="s">
        <v>232</v>
      </c>
      <c r="F31" s="19" t="s">
        <v>155</v>
      </c>
      <c r="G31" s="28" t="s">
        <v>20</v>
      </c>
      <c r="H31" s="29" t="s">
        <v>202</v>
      </c>
      <c r="I31" s="28">
        <v>195.41669688566688</v>
      </c>
      <c r="J31" s="28">
        <v>194.32962085166685</v>
      </c>
      <c r="K31" s="28">
        <v>195.16587151600018</v>
      </c>
      <c r="L31" s="28">
        <v>0</v>
      </c>
      <c r="M31" s="28">
        <v>0</v>
      </c>
      <c r="N31" s="28">
        <v>0</v>
      </c>
      <c r="O31" s="28">
        <v>0</v>
      </c>
      <c r="P31" s="50"/>
      <c r="Q31" s="50"/>
      <c r="R31" s="50"/>
    </row>
    <row r="32" spans="1:18">
      <c r="A32" s="7" t="s">
        <v>69</v>
      </c>
      <c r="B32" s="7" t="s">
        <v>258</v>
      </c>
      <c r="C32" s="1" t="s">
        <v>15</v>
      </c>
      <c r="D32" s="13" t="s">
        <v>129</v>
      </c>
      <c r="E32" s="7" t="s">
        <v>258</v>
      </c>
      <c r="F32" s="19" t="s">
        <v>155</v>
      </c>
      <c r="G32" s="48" t="s">
        <v>20</v>
      </c>
      <c r="H32" s="49" t="s">
        <v>202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50"/>
      <c r="Q32" s="50"/>
      <c r="R32" s="50"/>
    </row>
    <row r="33" spans="1:18">
      <c r="A33" s="7" t="s">
        <v>70</v>
      </c>
      <c r="B33" s="7" t="s">
        <v>229</v>
      </c>
      <c r="C33" s="1" t="s">
        <v>15</v>
      </c>
      <c r="D33" s="13" t="s">
        <v>130</v>
      </c>
      <c r="E33" s="7" t="s">
        <v>229</v>
      </c>
      <c r="F33" s="19" t="s">
        <v>155</v>
      </c>
      <c r="G33" s="28" t="s">
        <v>20</v>
      </c>
      <c r="H33" s="29" t="s">
        <v>202</v>
      </c>
      <c r="I33" s="28">
        <v>-26.644120594666688</v>
      </c>
      <c r="J33" s="28">
        <v>-55.015395864000048</v>
      </c>
      <c r="K33" s="28">
        <v>-55.445035565333399</v>
      </c>
      <c r="L33" s="28">
        <v>0</v>
      </c>
      <c r="M33" s="28">
        <v>0</v>
      </c>
      <c r="N33" s="28">
        <v>0</v>
      </c>
      <c r="O33" s="28">
        <v>0</v>
      </c>
      <c r="P33" s="50"/>
      <c r="Q33" s="50"/>
      <c r="R33" s="50"/>
    </row>
    <row r="34" spans="1:18">
      <c r="A34" s="7" t="s">
        <v>70</v>
      </c>
      <c r="B34" s="7" t="s">
        <v>230</v>
      </c>
      <c r="C34" s="1" t="s">
        <v>15</v>
      </c>
      <c r="D34" s="13" t="s">
        <v>130</v>
      </c>
      <c r="E34" s="7" t="s">
        <v>230</v>
      </c>
      <c r="F34" s="19" t="s">
        <v>155</v>
      </c>
      <c r="G34" s="28" t="s">
        <v>20</v>
      </c>
      <c r="H34" s="29" t="s">
        <v>202</v>
      </c>
      <c r="I34" s="28">
        <v>156.12548805700013</v>
      </c>
      <c r="J34" s="28">
        <v>342.52962966310031</v>
      </c>
      <c r="K34" s="28">
        <v>344.98758470990043</v>
      </c>
      <c r="L34" s="28">
        <v>0</v>
      </c>
      <c r="M34" s="28">
        <v>0</v>
      </c>
      <c r="N34" s="28">
        <v>0</v>
      </c>
      <c r="O34" s="28">
        <v>0</v>
      </c>
      <c r="P34" s="50"/>
      <c r="Q34" s="50"/>
      <c r="R34" s="50"/>
    </row>
    <row r="35" spans="1:18">
      <c r="A35" s="7" t="s">
        <v>70</v>
      </c>
      <c r="B35" s="7" t="s">
        <v>231</v>
      </c>
      <c r="C35" s="1" t="s">
        <v>15</v>
      </c>
      <c r="D35" s="13" t="s">
        <v>130</v>
      </c>
      <c r="E35" s="7" t="s">
        <v>231</v>
      </c>
      <c r="F35" s="19" t="s">
        <v>155</v>
      </c>
      <c r="G35" s="28" t="s">
        <v>20</v>
      </c>
      <c r="H35" s="29" t="s">
        <v>202</v>
      </c>
      <c r="I35" s="28">
        <v>-91.358654849000089</v>
      </c>
      <c r="J35" s="28">
        <v>-147.28490855833346</v>
      </c>
      <c r="K35" s="28">
        <v>-148.69380221300011</v>
      </c>
      <c r="L35" s="28">
        <v>0</v>
      </c>
      <c r="M35" s="28">
        <v>0</v>
      </c>
      <c r="N35" s="28">
        <v>0</v>
      </c>
      <c r="O35" s="28">
        <v>0</v>
      </c>
      <c r="P35" s="50"/>
      <c r="Q35" s="50"/>
      <c r="R35" s="50"/>
    </row>
    <row r="36" spans="1:18">
      <c r="A36" s="7" t="s">
        <v>70</v>
      </c>
      <c r="B36" s="7" t="s">
        <v>232</v>
      </c>
      <c r="C36" s="1" t="s">
        <v>15</v>
      </c>
      <c r="D36" s="13" t="s">
        <v>130</v>
      </c>
      <c r="E36" s="7" t="s">
        <v>232</v>
      </c>
      <c r="F36" s="19" t="s">
        <v>155</v>
      </c>
      <c r="G36" s="28" t="s">
        <v>20</v>
      </c>
      <c r="H36" s="29" t="s">
        <v>202</v>
      </c>
      <c r="I36" s="28">
        <v>12.737367005000012</v>
      </c>
      <c r="J36" s="28">
        <v>43.302688579333378</v>
      </c>
      <c r="K36" s="28">
        <v>43.188466519000045</v>
      </c>
      <c r="L36" s="28">
        <v>0</v>
      </c>
      <c r="M36" s="28">
        <v>0</v>
      </c>
      <c r="N36" s="28">
        <v>0</v>
      </c>
      <c r="O36" s="28">
        <v>0</v>
      </c>
      <c r="P36" s="50"/>
      <c r="Q36" s="50"/>
      <c r="R36" s="50"/>
    </row>
    <row r="37" spans="1:18">
      <c r="A37" s="7" t="s">
        <v>70</v>
      </c>
      <c r="B37" s="7" t="s">
        <v>258</v>
      </c>
      <c r="C37" s="1" t="s">
        <v>15</v>
      </c>
      <c r="D37" s="13" t="s">
        <v>130</v>
      </c>
      <c r="E37" s="7" t="s">
        <v>258</v>
      </c>
      <c r="F37" s="19" t="s">
        <v>155</v>
      </c>
      <c r="G37" s="48" t="s">
        <v>20</v>
      </c>
      <c r="H37" s="49" t="s">
        <v>202</v>
      </c>
      <c r="I37" s="48">
        <v>44.047868080333373</v>
      </c>
      <c r="J37" s="48">
        <v>79.579522858000075</v>
      </c>
      <c r="K37" s="48">
        <v>79.87267698300009</v>
      </c>
      <c r="L37" s="48">
        <v>0</v>
      </c>
      <c r="M37" s="48">
        <v>0</v>
      </c>
      <c r="N37" s="48">
        <v>0</v>
      </c>
      <c r="O37" s="48">
        <v>0</v>
      </c>
      <c r="P37" s="50"/>
      <c r="Q37" s="50"/>
      <c r="R37" s="50"/>
    </row>
    <row r="38" spans="1:18">
      <c r="A38" s="7" t="s">
        <v>71</v>
      </c>
      <c r="B38" s="3" t="s">
        <v>257</v>
      </c>
      <c r="C38" s="1" t="s">
        <v>15</v>
      </c>
      <c r="D38" s="13" t="s">
        <v>131</v>
      </c>
      <c r="E38" s="7"/>
      <c r="F38" s="19" t="s">
        <v>155</v>
      </c>
      <c r="G38" s="48" t="s">
        <v>20</v>
      </c>
      <c r="H38" s="49" t="s">
        <v>202</v>
      </c>
      <c r="I38" s="48">
        <v>67.765661113333394</v>
      </c>
      <c r="J38" s="48">
        <v>66.205957986666718</v>
      </c>
      <c r="K38" s="48">
        <v>66.200916723333393</v>
      </c>
      <c r="L38" s="48">
        <v>0</v>
      </c>
      <c r="M38" s="48">
        <v>0</v>
      </c>
      <c r="N38" s="48">
        <v>0</v>
      </c>
      <c r="O38" s="48">
        <v>0</v>
      </c>
      <c r="P38" s="51"/>
      <c r="Q38" s="51"/>
      <c r="R38" s="51"/>
    </row>
    <row r="39" spans="1:18">
      <c r="A39" s="7" t="s">
        <v>72</v>
      </c>
      <c r="B39" s="7" t="s">
        <v>229</v>
      </c>
      <c r="C39" s="1" t="s">
        <v>15</v>
      </c>
      <c r="D39" s="13" t="s">
        <v>132</v>
      </c>
      <c r="E39" s="7" t="s">
        <v>229</v>
      </c>
      <c r="F39" s="19" t="s">
        <v>155</v>
      </c>
      <c r="G39" s="48" t="s">
        <v>20</v>
      </c>
      <c r="H39" s="49" t="s">
        <v>202</v>
      </c>
      <c r="I39" s="48">
        <v>-0.19393457233333353</v>
      </c>
      <c r="J39" s="48">
        <v>-0.29327047200000023</v>
      </c>
      <c r="K39" s="48">
        <v>-0.28616159366666694</v>
      </c>
      <c r="L39" s="48">
        <v>0</v>
      </c>
      <c r="M39" s="48">
        <v>0</v>
      </c>
      <c r="N39" s="48">
        <v>0</v>
      </c>
      <c r="O39" s="48">
        <v>0</v>
      </c>
      <c r="P39" s="51"/>
      <c r="Q39" s="51"/>
      <c r="R39" s="51"/>
    </row>
    <row r="40" spans="1:18">
      <c r="A40" s="7" t="s">
        <v>72</v>
      </c>
      <c r="B40" s="7" t="s">
        <v>230</v>
      </c>
      <c r="C40" s="1" t="s">
        <v>15</v>
      </c>
      <c r="D40" s="13" t="s">
        <v>132</v>
      </c>
      <c r="E40" s="7" t="s">
        <v>230</v>
      </c>
      <c r="F40" s="19" t="s">
        <v>155</v>
      </c>
      <c r="G40" s="48" t="s">
        <v>20</v>
      </c>
      <c r="H40" s="49" t="s">
        <v>202</v>
      </c>
      <c r="I40" s="48">
        <v>9.4347939326666737</v>
      </c>
      <c r="J40" s="48">
        <v>24.463445152666697</v>
      </c>
      <c r="K40" s="48">
        <v>24.529648212666693</v>
      </c>
      <c r="L40" s="48">
        <v>0</v>
      </c>
      <c r="M40" s="48">
        <v>0</v>
      </c>
      <c r="N40" s="48">
        <v>0</v>
      </c>
      <c r="O40" s="48">
        <v>0</v>
      </c>
      <c r="P40" s="51"/>
      <c r="Q40" s="51"/>
      <c r="R40" s="51"/>
    </row>
    <row r="41" spans="1:18">
      <c r="A41" s="7" t="s">
        <v>72</v>
      </c>
      <c r="B41" s="7" t="s">
        <v>231</v>
      </c>
      <c r="C41" s="1" t="s">
        <v>15</v>
      </c>
      <c r="D41" s="13" t="s">
        <v>132</v>
      </c>
      <c r="E41" s="7" t="s">
        <v>231</v>
      </c>
      <c r="F41" s="19" t="s">
        <v>155</v>
      </c>
      <c r="G41" s="48" t="s">
        <v>20</v>
      </c>
      <c r="H41" s="49" t="s">
        <v>202</v>
      </c>
      <c r="I41" s="48">
        <v>8.2508782583333389</v>
      </c>
      <c r="J41" s="48">
        <v>15.156460671000012</v>
      </c>
      <c r="K41" s="48">
        <v>15.154644017333345</v>
      </c>
      <c r="L41" s="48">
        <v>0</v>
      </c>
      <c r="M41" s="48">
        <v>0</v>
      </c>
      <c r="N41" s="48">
        <v>0</v>
      </c>
      <c r="O41" s="48">
        <v>0</v>
      </c>
      <c r="P41" s="51"/>
      <c r="Q41" s="51"/>
      <c r="R41" s="51"/>
    </row>
    <row r="42" spans="1:18">
      <c r="A42" s="7" t="s">
        <v>72</v>
      </c>
      <c r="B42" s="7" t="s">
        <v>232</v>
      </c>
      <c r="C42" s="1" t="s">
        <v>15</v>
      </c>
      <c r="D42" s="13" t="s">
        <v>132</v>
      </c>
      <c r="E42" s="7" t="s">
        <v>232</v>
      </c>
      <c r="F42" s="19" t="s">
        <v>155</v>
      </c>
      <c r="G42" s="48" t="s">
        <v>20</v>
      </c>
      <c r="H42" s="49" t="s">
        <v>202</v>
      </c>
      <c r="I42" s="48">
        <v>1.932141027666668</v>
      </c>
      <c r="J42" s="48">
        <v>3.8767012826666716</v>
      </c>
      <c r="K42" s="48">
        <v>3.7661073486666705</v>
      </c>
      <c r="L42" s="48">
        <v>0</v>
      </c>
      <c r="M42" s="48">
        <v>0</v>
      </c>
      <c r="N42" s="48">
        <v>0</v>
      </c>
      <c r="O42" s="48">
        <v>0</v>
      </c>
      <c r="P42" s="51"/>
      <c r="Q42" s="51"/>
      <c r="R42" s="51"/>
    </row>
    <row r="43" spans="1:18">
      <c r="A43" s="7" t="s">
        <v>72</v>
      </c>
      <c r="B43" s="7" t="s">
        <v>258</v>
      </c>
      <c r="C43" s="1" t="s">
        <v>15</v>
      </c>
      <c r="D43" s="13" t="s">
        <v>132</v>
      </c>
      <c r="E43" s="7" t="s">
        <v>258</v>
      </c>
      <c r="F43" s="19" t="s">
        <v>155</v>
      </c>
      <c r="G43" s="48" t="s">
        <v>20</v>
      </c>
      <c r="H43" s="49" t="s">
        <v>202</v>
      </c>
      <c r="I43" s="48">
        <v>1.384821760666668</v>
      </c>
      <c r="J43" s="48">
        <v>3.81422486866667</v>
      </c>
      <c r="K43" s="48">
        <v>3.8285565963333372</v>
      </c>
      <c r="L43" s="48">
        <v>0</v>
      </c>
      <c r="M43" s="48">
        <v>0</v>
      </c>
      <c r="N43" s="48">
        <v>0</v>
      </c>
      <c r="O43" s="48">
        <v>0</v>
      </c>
      <c r="P43" s="51"/>
      <c r="Q43" s="51"/>
      <c r="R43" s="51"/>
    </row>
    <row r="44" spans="1:18">
      <c r="A44" s="7" t="s">
        <v>73</v>
      </c>
      <c r="B44" s="3" t="s">
        <v>257</v>
      </c>
      <c r="C44" s="1" t="s">
        <v>15</v>
      </c>
      <c r="D44" s="13" t="s">
        <v>133</v>
      </c>
      <c r="E44" s="7"/>
      <c r="F44" s="19" t="s">
        <v>155</v>
      </c>
      <c r="G44" s="28" t="s">
        <v>20</v>
      </c>
      <c r="H44" s="29" t="s">
        <v>202</v>
      </c>
      <c r="I44" s="28">
        <v>-44.851275593666692</v>
      </c>
      <c r="J44" s="28">
        <v>-45.993485160333357</v>
      </c>
      <c r="K44" s="28">
        <v>-47.789190768000026</v>
      </c>
      <c r="L44" s="28">
        <v>0</v>
      </c>
      <c r="M44" s="28">
        <v>0</v>
      </c>
      <c r="N44" s="28">
        <v>0</v>
      </c>
      <c r="O44" s="28">
        <v>0</v>
      </c>
      <c r="P44" s="50"/>
      <c r="Q44" s="50"/>
      <c r="R44" s="50"/>
    </row>
    <row r="45" spans="1:18">
      <c r="A45" s="7" t="s">
        <v>74</v>
      </c>
      <c r="B45" s="3" t="s">
        <v>257</v>
      </c>
      <c r="C45" s="1" t="s">
        <v>15</v>
      </c>
      <c r="D45" s="13" t="s">
        <v>134</v>
      </c>
      <c r="E45" s="7"/>
      <c r="F45" s="19" t="s">
        <v>155</v>
      </c>
      <c r="G45" s="28" t="s">
        <v>20</v>
      </c>
      <c r="H45" s="29" t="s">
        <v>202</v>
      </c>
      <c r="I45" s="28">
        <v>258.23757001166695</v>
      </c>
      <c r="J45" s="28">
        <v>213.04012740633354</v>
      </c>
      <c r="K45" s="28">
        <v>213.21286139266681</v>
      </c>
      <c r="L45" s="28">
        <v>0</v>
      </c>
      <c r="M45" s="28">
        <v>0</v>
      </c>
      <c r="N45" s="28">
        <v>0</v>
      </c>
      <c r="O45" s="28">
        <v>0</v>
      </c>
      <c r="P45" s="50"/>
      <c r="Q45" s="50"/>
      <c r="R45" s="50"/>
    </row>
    <row r="46" spans="1:18">
      <c r="A46" s="7" t="s">
        <v>75</v>
      </c>
      <c r="B46" s="3" t="s">
        <v>257</v>
      </c>
      <c r="C46" s="1" t="s">
        <v>15</v>
      </c>
      <c r="D46" s="13" t="s">
        <v>135</v>
      </c>
      <c r="E46" s="7"/>
      <c r="F46" s="19" t="s">
        <v>155</v>
      </c>
      <c r="G46" s="48" t="s">
        <v>20</v>
      </c>
      <c r="H46" s="49" t="s">
        <v>202</v>
      </c>
      <c r="I46" s="48">
        <v>87.833718188333407</v>
      </c>
      <c r="J46" s="48">
        <v>129.94479663366684</v>
      </c>
      <c r="K46" s="48">
        <v>130.33318975600014</v>
      </c>
      <c r="L46" s="48">
        <v>0</v>
      </c>
      <c r="M46" s="48">
        <v>0</v>
      </c>
      <c r="N46" s="48">
        <v>0</v>
      </c>
      <c r="O46" s="48">
        <v>0</v>
      </c>
      <c r="P46" s="51"/>
      <c r="Q46" s="51"/>
      <c r="R46" s="51"/>
    </row>
    <row r="47" spans="1:18">
      <c r="A47" s="41" t="s">
        <v>76</v>
      </c>
      <c r="B47" s="44" t="s">
        <v>257</v>
      </c>
      <c r="C47" s="42" t="s">
        <v>15</v>
      </c>
      <c r="D47" s="43" t="s">
        <v>136</v>
      </c>
      <c r="E47" s="41"/>
      <c r="F47" s="87" t="s">
        <v>260</v>
      </c>
      <c r="G47" s="48" t="s">
        <v>20</v>
      </c>
      <c r="H47" s="49" t="s">
        <v>202</v>
      </c>
      <c r="I47" s="48">
        <v>-1127.20587</v>
      </c>
      <c r="J47" s="48">
        <v>-28.662389999999998</v>
      </c>
      <c r="K47" s="48">
        <v>-39.235129999999998</v>
      </c>
      <c r="L47" s="48">
        <v>22.367180000000001</v>
      </c>
      <c r="M47" s="48">
        <v>22.367180000000001</v>
      </c>
      <c r="N47" s="48">
        <v>22.367180000000001</v>
      </c>
      <c r="O47" s="48">
        <v>22.367180000000001</v>
      </c>
      <c r="P47" s="50"/>
      <c r="Q47" s="50"/>
      <c r="R47" s="50"/>
    </row>
    <row r="73" s="38" customFormat="1"/>
    <row r="74" s="38" customFormat="1"/>
    <row r="75" s="38" customFormat="1"/>
    <row r="76" s="38" customFormat="1"/>
    <row r="77" s="38" customFormat="1"/>
    <row r="78" s="38" customFormat="1"/>
    <row r="79" s="38" customFormat="1"/>
    <row r="80" s="38" customFormat="1"/>
    <row r="81" s="38" customFormat="1"/>
    <row r="82" s="38" customFormat="1"/>
    <row r="83" s="38" customFormat="1"/>
    <row r="84" s="38" customFormat="1"/>
    <row r="85" s="38" customFormat="1"/>
    <row r="86" s="38" customFormat="1"/>
    <row r="87" s="38" customFormat="1"/>
    <row r="88" s="38" customFormat="1"/>
    <row r="156" spans="1:1">
      <c r="A156" s="10"/>
    </row>
    <row r="158" spans="1:1">
      <c r="A158" s="10"/>
    </row>
    <row r="184" spans="1:1">
      <c r="A184" s="10"/>
    </row>
    <row r="186" spans="1:1">
      <c r="A186" s="10"/>
    </row>
    <row r="220" spans="1:1">
      <c r="A220" s="10"/>
    </row>
    <row r="222" spans="1:1">
      <c r="A222" s="10"/>
    </row>
    <row r="224" spans="1:1">
      <c r="A224" s="1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32"/>
  <sheetViews>
    <sheetView workbookViewId="0">
      <selection activeCell="G13" sqref="G13:H13"/>
    </sheetView>
  </sheetViews>
  <sheetFormatPr baseColWidth="10" defaultRowHeight="12.75"/>
  <cols>
    <col min="8" max="8" width="15" bestFit="1" customWidth="1"/>
    <col min="13" max="14" width="11.42578125" customWidth="1"/>
  </cols>
  <sheetData>
    <row r="1" spans="1:32">
      <c r="A1" t="s">
        <v>172</v>
      </c>
    </row>
    <row r="6" spans="1:32">
      <c r="A6" s="37">
        <v>1</v>
      </c>
      <c r="B6" s="37">
        <v>2</v>
      </c>
      <c r="C6" s="37">
        <v>3</v>
      </c>
      <c r="D6" s="37">
        <v>4</v>
      </c>
      <c r="E6" s="37">
        <v>5</v>
      </c>
      <c r="F6" s="37">
        <v>6</v>
      </c>
      <c r="G6" s="37">
        <v>7</v>
      </c>
      <c r="H6" s="37">
        <v>8</v>
      </c>
      <c r="I6" s="37">
        <v>9</v>
      </c>
      <c r="J6" s="37">
        <v>10</v>
      </c>
      <c r="K6" s="37">
        <v>11</v>
      </c>
      <c r="L6" s="37">
        <v>12</v>
      </c>
      <c r="M6" s="37">
        <v>13</v>
      </c>
      <c r="N6" s="37">
        <v>14</v>
      </c>
      <c r="O6" s="75">
        <v>15</v>
      </c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34"/>
      <c r="AD6" s="34"/>
      <c r="AE6" s="34"/>
      <c r="AF6" s="34"/>
    </row>
    <row r="7" spans="1:32"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</row>
    <row r="8" spans="1:32" ht="25.5">
      <c r="A8" s="47"/>
      <c r="B8" s="47"/>
      <c r="C8" s="47"/>
      <c r="D8" s="47"/>
      <c r="E8" s="47" t="str">
        <f>EM_for_U_KCA!E8</f>
        <v>Gut in MESAP</v>
      </c>
      <c r="F8" s="47"/>
      <c r="G8" s="47"/>
      <c r="H8" s="47"/>
      <c r="I8" s="47" t="str">
        <f>EM_for_U_KCA!I8</f>
        <v>EM, kt</v>
      </c>
      <c r="J8" s="47" t="str">
        <f>EM_for_U_KCA!J8</f>
        <v>EM, kt</v>
      </c>
      <c r="K8" s="47" t="str">
        <f>EM_for_U_KCA!K8</f>
        <v>EM, kt</v>
      </c>
      <c r="L8" s="47" t="str">
        <f>EM_for_U_KCA!L8</f>
        <v>EM, kt</v>
      </c>
      <c r="M8" s="47" t="str">
        <f>EM_for_U_KCA!M8</f>
        <v>EM, kt</v>
      </c>
      <c r="N8" s="47" t="str">
        <f>EM_for_U_KCA!N8</f>
        <v>EM, kt</v>
      </c>
      <c r="O8" s="47" t="str">
        <f>EM_for_U_KCA!O8</f>
        <v>EM, kt</v>
      </c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34"/>
      <c r="AD8" s="34"/>
      <c r="AE8" s="34"/>
      <c r="AF8" s="34"/>
    </row>
    <row r="9" spans="1:32" ht="25.5">
      <c r="A9" s="47" t="str">
        <f>EM_for_U_KCA!A9</f>
        <v>Category code</v>
      </c>
      <c r="B9" s="47" t="str">
        <f>EM_for_U_KCA!B9</f>
        <v>Fuel</v>
      </c>
      <c r="C9" s="47" t="str">
        <f>EM_for_U_KCA!C9</f>
        <v>Compound</v>
      </c>
      <c r="D9" s="47" t="str">
        <f>EM_for_U_KCA!D9</f>
        <v>Process, MESAP</v>
      </c>
      <c r="E9" s="47" t="str">
        <f>EM_for_U_KCA!E9</f>
        <v>FUEL, MESAP</v>
      </c>
      <c r="F9" s="47" t="str">
        <f>EM_for_U_KCA!F9</f>
        <v>Pollutant/gas, MESAP</v>
      </c>
      <c r="G9" s="47" t="str">
        <f>EM_for_U_KCA!G9</f>
        <v>Einheit</v>
      </c>
      <c r="H9" s="47" t="str">
        <f>EM_for_U_KCA!H9</f>
        <v>Attribut</v>
      </c>
      <c r="I9" s="47">
        <f>EM_for_U_KCA!I9</f>
        <v>1990</v>
      </c>
      <c r="J9" s="47">
        <f>EM_for_U_KCA!J9</f>
        <v>2020</v>
      </c>
      <c r="K9" s="47">
        <f>EM_for_U_KCA!K9</f>
        <v>2021</v>
      </c>
      <c r="L9" s="47">
        <f>EM_for_U_KCA!L9</f>
        <v>2025</v>
      </c>
      <c r="M9" s="47">
        <f>EM_for_U_KCA!M9</f>
        <v>2030</v>
      </c>
      <c r="N9" s="47">
        <f>EM_for_U_KCA!N9</f>
        <v>2035</v>
      </c>
      <c r="O9" s="47">
        <f>EM_for_U_KCA!O9</f>
        <v>2050</v>
      </c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34"/>
      <c r="AD9" s="34"/>
      <c r="AE9" s="34"/>
      <c r="AF9" s="34"/>
    </row>
    <row r="10" spans="1:32"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</row>
    <row r="13" spans="1:32">
      <c r="A13" s="32"/>
      <c r="B13" s="32"/>
      <c r="C13" s="2" t="s">
        <v>16</v>
      </c>
      <c r="D13" s="32" t="s">
        <v>175</v>
      </c>
      <c r="F13" s="2" t="s">
        <v>16</v>
      </c>
      <c r="G13" s="32" t="s">
        <v>20</v>
      </c>
      <c r="H13" s="18" t="s">
        <v>202</v>
      </c>
      <c r="I13" s="32">
        <v>84.878595951042485</v>
      </c>
      <c r="J13" s="32">
        <v>45.279260983228802</v>
      </c>
      <c r="K13" s="32">
        <v>44.796950947241541</v>
      </c>
      <c r="L13" s="32">
        <v>43.954790127913448</v>
      </c>
      <c r="M13" s="32">
        <v>43.567444331748291</v>
      </c>
      <c r="N13" s="32">
        <v>43.567444331748291</v>
      </c>
      <c r="O13" s="32">
        <v>43.567444331748291</v>
      </c>
      <c r="P13" s="34"/>
      <c r="Q13" s="34"/>
    </row>
    <row r="14" spans="1:32">
      <c r="A14" s="32"/>
      <c r="B14" s="32"/>
      <c r="C14" s="2" t="s">
        <v>16</v>
      </c>
      <c r="D14" s="32" t="s">
        <v>176</v>
      </c>
      <c r="F14" s="2" t="s">
        <v>16</v>
      </c>
      <c r="G14" s="32" t="s">
        <v>20</v>
      </c>
      <c r="H14" s="18" t="s">
        <v>202</v>
      </c>
      <c r="I14" s="32">
        <v>0.96133050101999995</v>
      </c>
      <c r="J14" s="32">
        <v>7.5693435221989205</v>
      </c>
      <c r="K14" s="32">
        <v>7.7048124472005002</v>
      </c>
      <c r="L14" s="32">
        <v>7.5645846867284554</v>
      </c>
      <c r="M14" s="32">
        <v>7.5827416930635101</v>
      </c>
      <c r="N14" s="32">
        <v>7.5827416930635101</v>
      </c>
      <c r="O14" s="32">
        <v>7.5827416930635101</v>
      </c>
      <c r="P14" s="34"/>
      <c r="Q14" s="34"/>
    </row>
    <row r="15" spans="1:32">
      <c r="A15" s="32"/>
      <c r="B15" s="32"/>
      <c r="C15" s="2" t="s">
        <v>16</v>
      </c>
      <c r="D15" s="32" t="s">
        <v>177</v>
      </c>
      <c r="F15" s="2" t="s">
        <v>16</v>
      </c>
      <c r="G15" s="32" t="s">
        <v>20</v>
      </c>
      <c r="H15" s="18" t="s">
        <v>202</v>
      </c>
      <c r="I15" s="32">
        <v>42.524640450701</v>
      </c>
      <c r="J15" s="32">
        <v>24.930459847362705</v>
      </c>
      <c r="K15" s="32">
        <v>24.504648734145203</v>
      </c>
      <c r="L15" s="32">
        <v>24.367842929025077</v>
      </c>
      <c r="M15" s="32">
        <v>24.235987392288916</v>
      </c>
      <c r="N15" s="32">
        <v>24.235987392288916</v>
      </c>
      <c r="O15" s="32">
        <v>24.235987392288916</v>
      </c>
      <c r="P15" s="34"/>
      <c r="Q15" s="34"/>
    </row>
    <row r="16" spans="1:32">
      <c r="A16" s="32"/>
      <c r="B16" s="32"/>
      <c r="C16" s="2" t="s">
        <v>16</v>
      </c>
      <c r="D16" s="32" t="s">
        <v>173</v>
      </c>
      <c r="F16" s="2" t="s">
        <v>16</v>
      </c>
      <c r="G16" s="32" t="s">
        <v>20</v>
      </c>
      <c r="H16" s="18" t="s">
        <v>202</v>
      </c>
      <c r="I16" s="32">
        <v>8.5670626988959988</v>
      </c>
      <c r="J16" s="32">
        <v>8.0076080113243009</v>
      </c>
      <c r="K16" s="32">
        <v>8.0112838149558208</v>
      </c>
      <c r="L16" s="32">
        <v>7.8138805178800155</v>
      </c>
      <c r="M16" s="32">
        <v>7.6620020084542437</v>
      </c>
      <c r="N16" s="32">
        <v>7.6620020084542437</v>
      </c>
      <c r="O16" s="32">
        <v>7.6620020084542437</v>
      </c>
      <c r="P16" s="34"/>
      <c r="Q16" s="34"/>
    </row>
    <row r="17" spans="1:22">
      <c r="A17" s="32"/>
      <c r="B17" s="32"/>
      <c r="C17" s="2" t="s">
        <v>16</v>
      </c>
      <c r="D17" s="32" t="s">
        <v>174</v>
      </c>
      <c r="F17" s="2" t="s">
        <v>16</v>
      </c>
      <c r="G17" s="32" t="s">
        <v>20</v>
      </c>
      <c r="H17" s="18" t="s">
        <v>202</v>
      </c>
      <c r="I17" s="32">
        <v>23.224029262615293</v>
      </c>
      <c r="J17" s="32">
        <v>8.7908727900176054</v>
      </c>
      <c r="K17" s="32">
        <v>8.7992388667891639</v>
      </c>
      <c r="L17" s="32">
        <v>8.6578020387045491</v>
      </c>
      <c r="M17" s="32">
        <v>8.7605434353839211</v>
      </c>
      <c r="N17" s="32">
        <v>8.7605434353839211</v>
      </c>
      <c r="O17" s="32">
        <v>8.7605434353839211</v>
      </c>
      <c r="P17" s="34"/>
      <c r="Q17" s="34"/>
    </row>
    <row r="18" spans="1:22">
      <c r="A18" s="32"/>
      <c r="B18" s="32"/>
      <c r="C18" s="2" t="s">
        <v>16</v>
      </c>
      <c r="D18" s="32" t="s">
        <v>178</v>
      </c>
      <c r="F18" s="2" t="s">
        <v>16</v>
      </c>
      <c r="G18" s="32" t="s">
        <v>20</v>
      </c>
      <c r="H18" s="18" t="s">
        <v>202</v>
      </c>
      <c r="I18" s="32">
        <v>0</v>
      </c>
      <c r="J18" s="32">
        <v>0.19170347222316003</v>
      </c>
      <c r="K18" s="32">
        <v>0.19160732593440002</v>
      </c>
      <c r="L18" s="32">
        <v>0.19170347222316003</v>
      </c>
      <c r="M18" s="32">
        <v>0.19170347222316003</v>
      </c>
      <c r="N18" s="32">
        <v>0.19170347222316003</v>
      </c>
      <c r="O18" s="32">
        <v>0.19170347222316003</v>
      </c>
      <c r="P18" s="34"/>
      <c r="Q18" s="34"/>
    </row>
    <row r="19" spans="1:22">
      <c r="A19" s="32"/>
      <c r="B19" s="32"/>
      <c r="C19" s="2" t="s">
        <v>16</v>
      </c>
      <c r="D19" s="32" t="s">
        <v>179</v>
      </c>
      <c r="F19" s="2" t="s">
        <v>16</v>
      </c>
      <c r="G19" s="32" t="s">
        <v>20</v>
      </c>
      <c r="H19" s="18" t="s">
        <v>202</v>
      </c>
      <c r="I19" s="32">
        <v>8.9986449344400012E-3</v>
      </c>
      <c r="J19" s="32">
        <v>0.36582394241396249</v>
      </c>
      <c r="K19" s="32">
        <v>0.3681924190332625</v>
      </c>
      <c r="L19" s="32">
        <v>0.36582394241396249</v>
      </c>
      <c r="M19" s="32">
        <v>0.36582394241396249</v>
      </c>
      <c r="N19" s="32">
        <v>0.36582394241396249</v>
      </c>
      <c r="O19" s="32">
        <v>0.36582394241396249</v>
      </c>
      <c r="P19" s="34"/>
      <c r="Q19" s="34"/>
    </row>
    <row r="20" spans="1:22">
      <c r="A20" s="32"/>
      <c r="B20" s="32"/>
      <c r="C20" s="2" t="s">
        <v>16</v>
      </c>
      <c r="D20" s="32" t="s">
        <v>180</v>
      </c>
      <c r="F20" s="2" t="s">
        <v>16</v>
      </c>
      <c r="G20" s="32" t="s">
        <v>20</v>
      </c>
      <c r="H20" s="18" t="s">
        <v>202</v>
      </c>
      <c r="I20" s="32">
        <v>2.7399615677630003</v>
      </c>
      <c r="J20" s="32">
        <v>2.8311611682744524</v>
      </c>
      <c r="K20" s="32">
        <v>2.8555030370995294</v>
      </c>
      <c r="L20" s="32">
        <v>2.9046041739949677</v>
      </c>
      <c r="M20" s="32">
        <v>2.8677838608008228</v>
      </c>
      <c r="N20" s="32">
        <v>2.8677838608008228</v>
      </c>
      <c r="O20" s="32">
        <v>2.8677838608008228</v>
      </c>
      <c r="P20" s="34"/>
      <c r="Q20" s="34"/>
    </row>
    <row r="21" spans="1:22">
      <c r="A21" s="32"/>
      <c r="B21" s="32"/>
      <c r="C21" s="2" t="s">
        <v>16</v>
      </c>
      <c r="D21" s="32" t="s">
        <v>181</v>
      </c>
      <c r="F21" s="2" t="s">
        <v>16</v>
      </c>
      <c r="G21" s="32" t="s">
        <v>20</v>
      </c>
      <c r="H21" s="18" t="s">
        <v>202</v>
      </c>
      <c r="I21" s="32">
        <v>2.2280771304700226</v>
      </c>
      <c r="J21" s="32">
        <v>3.2879074556052004</v>
      </c>
      <c r="K21" s="32">
        <v>3.3003279579407101</v>
      </c>
      <c r="L21" s="32">
        <v>3.4397889476703689</v>
      </c>
      <c r="M21" s="32">
        <v>3.4472249036081388</v>
      </c>
      <c r="N21" s="32">
        <v>3.4472249036081388</v>
      </c>
      <c r="O21" s="32">
        <v>3.4472249036081388</v>
      </c>
      <c r="P21" s="34"/>
      <c r="Q21" s="34"/>
    </row>
    <row r="22" spans="1:22">
      <c r="A22" s="32"/>
      <c r="B22" s="32"/>
      <c r="C22" s="2" t="s">
        <v>16</v>
      </c>
      <c r="D22" s="32" t="s">
        <v>182</v>
      </c>
      <c r="F22" s="2" t="s">
        <v>16</v>
      </c>
      <c r="G22" s="32" t="s">
        <v>20</v>
      </c>
      <c r="H22" s="18" t="s">
        <v>202</v>
      </c>
      <c r="I22" s="32">
        <v>0.1708244647772878</v>
      </c>
      <c r="J22" s="32">
        <v>0.88639750389785998</v>
      </c>
      <c r="K22" s="32">
        <v>0.88326355889737496</v>
      </c>
      <c r="L22" s="32">
        <v>0.92950441032330178</v>
      </c>
      <c r="M22" s="32">
        <v>0.9316148790655675</v>
      </c>
      <c r="N22" s="32">
        <v>0.9316148790655675</v>
      </c>
      <c r="O22" s="32">
        <v>0.9316148790655675</v>
      </c>
      <c r="P22" s="34"/>
      <c r="Q22" s="34"/>
    </row>
    <row r="23" spans="1:22">
      <c r="A23" s="32"/>
      <c r="B23" s="32"/>
      <c r="C23" s="2" t="s">
        <v>16</v>
      </c>
      <c r="D23" s="32" t="s">
        <v>183</v>
      </c>
      <c r="F23" s="2" t="s">
        <v>16</v>
      </c>
      <c r="G23" s="32" t="s">
        <v>20</v>
      </c>
      <c r="H23" s="18" t="s">
        <v>202</v>
      </c>
      <c r="I23" s="32">
        <v>1.638602058251446</v>
      </c>
      <c r="J23" s="32">
        <v>2.8939313523841212</v>
      </c>
      <c r="K23" s="32">
        <v>2.9540087035383453</v>
      </c>
      <c r="L23" s="32">
        <v>2.9227024888852937</v>
      </c>
      <c r="M23" s="32">
        <v>2.9113029072699144</v>
      </c>
      <c r="N23" s="32">
        <v>2.9113029072699144</v>
      </c>
      <c r="O23" s="32">
        <v>2.9113029072699144</v>
      </c>
      <c r="P23" s="34"/>
      <c r="Q23" s="34"/>
    </row>
    <row r="24" spans="1:22">
      <c r="A24" s="32"/>
      <c r="B24" s="32"/>
      <c r="C24" s="2" t="s">
        <v>16</v>
      </c>
      <c r="D24" s="32" t="s">
        <v>184</v>
      </c>
      <c r="F24" s="2" t="s">
        <v>16</v>
      </c>
      <c r="G24" s="32" t="s">
        <v>20</v>
      </c>
      <c r="H24" s="18" t="s">
        <v>202</v>
      </c>
      <c r="I24" s="32">
        <v>0.12166323609577202</v>
      </c>
      <c r="J24" s="32">
        <v>3.8056140479239754E-2</v>
      </c>
      <c r="K24" s="32">
        <v>3.436155294921299E-2</v>
      </c>
      <c r="L24" s="32">
        <v>3.8056140479239754E-2</v>
      </c>
      <c r="M24" s="32">
        <v>3.8056140479239754E-2</v>
      </c>
      <c r="N24" s="32">
        <v>3.8056140479239754E-2</v>
      </c>
      <c r="O24" s="32">
        <v>3.8056140479239754E-2</v>
      </c>
      <c r="P24" s="34"/>
      <c r="Q24" s="34"/>
    </row>
    <row r="25" spans="1:22">
      <c r="A25" s="32"/>
      <c r="B25" s="32"/>
      <c r="C25" s="2" t="s">
        <v>16</v>
      </c>
      <c r="D25" s="32" t="s">
        <v>185</v>
      </c>
      <c r="F25" s="2" t="s">
        <v>16</v>
      </c>
      <c r="G25" s="32" t="s">
        <v>20</v>
      </c>
      <c r="H25" s="18" t="s">
        <v>202</v>
      </c>
      <c r="I25" s="32">
        <v>0</v>
      </c>
      <c r="J25" s="32">
        <v>2.8399108003175001E-2</v>
      </c>
      <c r="K25" s="32">
        <v>2.6677121654000002E-2</v>
      </c>
      <c r="L25" s="32">
        <v>2.8399108003175001E-2</v>
      </c>
      <c r="M25" s="32">
        <v>2.8399108003175001E-2</v>
      </c>
      <c r="N25" s="32">
        <v>2.8399108003175001E-2</v>
      </c>
      <c r="O25" s="32">
        <v>2.8399108003175001E-2</v>
      </c>
      <c r="P25" s="34"/>
      <c r="Q25" s="34"/>
    </row>
    <row r="26" spans="1:22">
      <c r="A26" s="32"/>
      <c r="B26" s="32"/>
      <c r="C26" s="2" t="s">
        <v>16</v>
      </c>
      <c r="D26" s="32" t="s">
        <v>186</v>
      </c>
      <c r="F26" s="2" t="s">
        <v>16</v>
      </c>
      <c r="G26" s="32" t="s">
        <v>20</v>
      </c>
      <c r="H26" s="18" t="s">
        <v>202</v>
      </c>
      <c r="I26" s="32">
        <v>1.0816927906509421</v>
      </c>
      <c r="J26" s="32">
        <v>3.0320518468560911</v>
      </c>
      <c r="K26" s="32">
        <v>3.0563833005575698</v>
      </c>
      <c r="L26" s="32">
        <v>3.0788631865639777</v>
      </c>
      <c r="M26" s="32">
        <v>3.0521419918747612</v>
      </c>
      <c r="N26" s="32">
        <v>3.0521419918747612</v>
      </c>
      <c r="O26" s="32">
        <v>3.0521419918747612</v>
      </c>
      <c r="P26" s="34"/>
      <c r="Q26" s="34"/>
    </row>
    <row r="29" spans="1:22">
      <c r="A29" s="41"/>
      <c r="B29" s="41"/>
      <c r="C29" s="41"/>
      <c r="D29" s="41"/>
      <c r="E29" s="41" t="s">
        <v>188</v>
      </c>
      <c r="F29" s="41"/>
      <c r="G29" s="41"/>
      <c r="H29" s="41"/>
      <c r="I29" s="41">
        <f>SUM(I13:I26)</f>
        <v>168.14547875721772</v>
      </c>
      <c r="J29" s="41">
        <f t="shared" ref="J29:O29" si="0">SUM(J13:J26)</f>
        <v>108.13297714426959</v>
      </c>
      <c r="K29" s="41">
        <f t="shared" si="0"/>
        <v>107.48725978793662</v>
      </c>
      <c r="L29" s="41">
        <f t="shared" si="0"/>
        <v>106.25834617080899</v>
      </c>
      <c r="M29" s="41">
        <f t="shared" si="0"/>
        <v>105.64277006667763</v>
      </c>
      <c r="N29" s="41">
        <f t="shared" si="0"/>
        <v>105.64277006667763</v>
      </c>
      <c r="O29" s="41">
        <f t="shared" si="0"/>
        <v>105.64277006667763</v>
      </c>
      <c r="P29" s="34"/>
      <c r="Q29" s="34"/>
      <c r="R29" s="34"/>
      <c r="S29" s="34"/>
      <c r="T29" s="34"/>
      <c r="U29" s="34"/>
      <c r="V29" s="34"/>
    </row>
    <row r="30" spans="1:22">
      <c r="A30" s="32"/>
      <c r="B30" s="32"/>
      <c r="C30" s="2" t="s">
        <v>16</v>
      </c>
      <c r="D30" s="32" t="s">
        <v>187</v>
      </c>
      <c r="E30" s="7"/>
      <c r="F30" s="2" t="s">
        <v>16</v>
      </c>
      <c r="G30" s="32" t="s">
        <v>20</v>
      </c>
      <c r="H30" s="18" t="s">
        <v>202</v>
      </c>
      <c r="I30" s="32">
        <v>208.60003320686107</v>
      </c>
      <c r="J30" s="32">
        <v>231.19400647428569</v>
      </c>
      <c r="K30" s="32">
        <v>232.26163057948366</v>
      </c>
      <c r="L30" s="32">
        <v>229.44944548875077</v>
      </c>
      <c r="M30" s="32">
        <v>228.71619402882644</v>
      </c>
      <c r="N30" s="32">
        <v>228.71619402882644</v>
      </c>
      <c r="O30" s="32">
        <v>228.71619402882644</v>
      </c>
      <c r="P30" s="34"/>
      <c r="Q30" s="34"/>
      <c r="R30" s="34"/>
      <c r="S30" s="34"/>
      <c r="T30" s="34"/>
      <c r="U30" s="34"/>
      <c r="V30" s="34"/>
    </row>
    <row r="31" spans="1:22">
      <c r="A31" s="39"/>
      <c r="B31" s="39"/>
      <c r="C31" s="39"/>
      <c r="D31" s="39"/>
      <c r="E31" s="39" t="s">
        <v>189</v>
      </c>
      <c r="F31" s="39"/>
      <c r="G31" s="39"/>
      <c r="H31" s="39"/>
      <c r="I31" s="39">
        <f>I29+I30</f>
        <v>376.74551196407879</v>
      </c>
      <c r="J31" s="39">
        <f t="shared" ref="J31:O31" si="1">J29+J30</f>
        <v>339.32698361855529</v>
      </c>
      <c r="K31" s="39">
        <f t="shared" si="1"/>
        <v>339.7488903674203</v>
      </c>
      <c r="L31" s="39">
        <f t="shared" si="1"/>
        <v>335.70779165955975</v>
      </c>
      <c r="M31" s="39">
        <f t="shared" si="1"/>
        <v>334.35896409550406</v>
      </c>
      <c r="N31" s="39">
        <f t="shared" si="1"/>
        <v>334.35896409550406</v>
      </c>
      <c r="O31" s="39">
        <f t="shared" si="1"/>
        <v>334.35896409550406</v>
      </c>
      <c r="P31" s="34"/>
      <c r="Q31" s="34"/>
      <c r="R31" s="34"/>
      <c r="S31" s="34"/>
      <c r="T31" s="34"/>
      <c r="U31" s="34"/>
      <c r="V31" s="34"/>
    </row>
    <row r="32" spans="1:22">
      <c r="A32" s="79"/>
      <c r="B32" s="79"/>
      <c r="C32" s="78" t="s">
        <v>16</v>
      </c>
      <c r="D32" s="81" t="s">
        <v>118</v>
      </c>
      <c r="E32" s="79"/>
      <c r="F32" s="78" t="s">
        <v>16</v>
      </c>
      <c r="G32" s="79" t="s">
        <v>20</v>
      </c>
      <c r="H32" s="80" t="s">
        <v>202</v>
      </c>
      <c r="I32" s="79">
        <v>376.74551196407884</v>
      </c>
      <c r="J32" s="79">
        <v>339.32698361855518</v>
      </c>
      <c r="K32" s="79">
        <v>339.74889036742036</v>
      </c>
      <c r="L32" s="79">
        <v>335.7077916595598</v>
      </c>
      <c r="M32" s="79">
        <v>334.35896409550412</v>
      </c>
      <c r="N32" s="79">
        <v>334.35896409550412</v>
      </c>
      <c r="O32" s="79">
        <v>334.35896409550412</v>
      </c>
      <c r="P32" s="34"/>
      <c r="Q32" s="34"/>
      <c r="R32" s="34"/>
      <c r="S32" s="34"/>
      <c r="T32" s="34"/>
      <c r="U32" s="34"/>
      <c r="V32" s="3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4"/>
  <sheetViews>
    <sheetView workbookViewId="0">
      <selection activeCell="O16" sqref="O16"/>
    </sheetView>
  </sheetViews>
  <sheetFormatPr baseColWidth="10" defaultRowHeight="12.75"/>
  <cols>
    <col min="1" max="1" width="28.28515625" customWidth="1"/>
    <col min="8" max="8" width="15" bestFit="1" customWidth="1"/>
    <col min="9" max="10" width="11.42578125" customWidth="1"/>
    <col min="15" max="15" width="11.42578125" customWidth="1"/>
    <col min="16" max="16" width="11.42578125" style="34" customWidth="1"/>
    <col min="17" max="18" width="11.42578125" style="34"/>
  </cols>
  <sheetData>
    <row r="1" spans="1:20">
      <c r="A1" t="s">
        <v>195</v>
      </c>
    </row>
    <row r="2" spans="1:20">
      <c r="A2" t="s">
        <v>197</v>
      </c>
    </row>
    <row r="3" spans="1:20">
      <c r="A3" t="s">
        <v>198</v>
      </c>
    </row>
    <row r="5" spans="1:20">
      <c r="S5" s="34"/>
      <c r="T5" s="34"/>
    </row>
    <row r="6" spans="1:20">
      <c r="A6" s="37">
        <v>1</v>
      </c>
      <c r="B6" s="37">
        <v>2</v>
      </c>
      <c r="C6" s="37">
        <v>3</v>
      </c>
      <c r="D6" s="37">
        <v>4</v>
      </c>
      <c r="E6" s="37">
        <v>5</v>
      </c>
      <c r="F6" s="37">
        <v>6</v>
      </c>
      <c r="G6" s="37">
        <v>7</v>
      </c>
      <c r="H6" s="37">
        <v>8</v>
      </c>
      <c r="I6" s="37">
        <v>9</v>
      </c>
      <c r="J6" s="37">
        <v>10</v>
      </c>
      <c r="K6" s="37">
        <v>11</v>
      </c>
      <c r="L6" s="37">
        <v>12</v>
      </c>
      <c r="M6" s="37">
        <v>13</v>
      </c>
      <c r="N6" s="37">
        <v>14</v>
      </c>
      <c r="O6" s="75">
        <v>15</v>
      </c>
      <c r="P6" s="54"/>
      <c r="Q6" s="54"/>
      <c r="R6" s="54"/>
      <c r="S6" s="54"/>
      <c r="T6" s="54"/>
    </row>
    <row r="7" spans="1:20">
      <c r="M7" t="s">
        <v>171</v>
      </c>
      <c r="S7" s="34"/>
      <c r="T7" s="34"/>
    </row>
    <row r="8" spans="1:20">
      <c r="A8" s="30"/>
      <c r="B8" s="30"/>
      <c r="C8" s="30"/>
      <c r="D8" s="30"/>
      <c r="E8" s="30" t="s">
        <v>170</v>
      </c>
      <c r="F8" s="30"/>
      <c r="G8" s="30"/>
      <c r="H8" s="30"/>
      <c r="I8" s="30" t="s">
        <v>224</v>
      </c>
      <c r="J8" s="30" t="s">
        <v>224</v>
      </c>
      <c r="K8" s="30" t="s">
        <v>224</v>
      </c>
      <c r="L8" s="30" t="s">
        <v>224</v>
      </c>
      <c r="M8" s="30" t="s">
        <v>224</v>
      </c>
      <c r="N8" s="30" t="s">
        <v>224</v>
      </c>
      <c r="O8" s="82" t="s">
        <v>224</v>
      </c>
      <c r="R8" s="54"/>
      <c r="S8" s="54"/>
      <c r="T8" s="59"/>
    </row>
    <row r="9" spans="1:20" ht="25.5">
      <c r="A9" s="31" t="str">
        <f>EM_for_U_KCA!A9</f>
        <v>Category code</v>
      </c>
      <c r="B9" s="31" t="str">
        <f>EM_for_U_KCA!B9</f>
        <v>Fuel</v>
      </c>
      <c r="C9" s="31" t="str">
        <f>EM_for_U_KCA!C9</f>
        <v>Compound</v>
      </c>
      <c r="D9" s="31" t="str">
        <f>EM_for_U_KCA!D9</f>
        <v>Process, MESAP</v>
      </c>
      <c r="E9" s="31" t="str">
        <f>EM_for_U_KCA!E9</f>
        <v>FUEL, MESAP</v>
      </c>
      <c r="F9" s="31" t="str">
        <f>EM_for_U_KCA!F9</f>
        <v>Pollutant/gas, MESAP</v>
      </c>
      <c r="G9" s="31" t="str">
        <f>EM_for_U_KCA!G9</f>
        <v>Einheit</v>
      </c>
      <c r="H9" s="31" t="str">
        <f>EM_for_U_KCA!H9</f>
        <v>Attribut</v>
      </c>
      <c r="I9" s="30">
        <v>1990</v>
      </c>
      <c r="J9" s="30">
        <f>K9-1</f>
        <v>2020</v>
      </c>
      <c r="K9" s="30">
        <v>2021</v>
      </c>
      <c r="L9" s="30">
        <v>2025</v>
      </c>
      <c r="M9" s="30">
        <v>2030</v>
      </c>
      <c r="N9" s="30">
        <v>2035</v>
      </c>
      <c r="O9" s="82">
        <v>2050</v>
      </c>
      <c r="R9" s="60"/>
      <c r="S9" s="60"/>
      <c r="T9" s="60"/>
    </row>
    <row r="10" spans="1:20">
      <c r="A10" t="s">
        <v>196</v>
      </c>
      <c r="B10" s="7"/>
      <c r="C10" s="1" t="s">
        <v>15</v>
      </c>
      <c r="D10" s="13" t="s">
        <v>110</v>
      </c>
      <c r="F10" s="7" t="s">
        <v>147</v>
      </c>
      <c r="G10" s="32" t="s">
        <v>20</v>
      </c>
      <c r="H10" s="18" t="s">
        <v>202</v>
      </c>
      <c r="I10" s="7">
        <v>63.708550505481966</v>
      </c>
      <c r="J10" s="7">
        <v>80.107230854297896</v>
      </c>
      <c r="K10" s="7">
        <v>82.314086121916858</v>
      </c>
      <c r="L10" s="7">
        <v>75.385330323375811</v>
      </c>
      <c r="M10" s="7">
        <v>78.152560279649464</v>
      </c>
      <c r="N10" s="7">
        <v>78.097243197993421</v>
      </c>
      <c r="O10" s="83">
        <v>77.963957051336536</v>
      </c>
      <c r="S10" s="34"/>
      <c r="T10" s="34"/>
    </row>
    <row r="11" spans="1:20">
      <c r="A11" t="s">
        <v>194</v>
      </c>
      <c r="B11" s="7"/>
      <c r="C11" s="1" t="s">
        <v>15</v>
      </c>
      <c r="D11" s="13" t="s">
        <v>117</v>
      </c>
      <c r="F11" s="7" t="s">
        <v>147</v>
      </c>
      <c r="G11" s="32" t="s">
        <v>20</v>
      </c>
      <c r="H11" s="18" t="s">
        <v>202</v>
      </c>
      <c r="I11" s="7">
        <v>0.57240088591539007</v>
      </c>
      <c r="J11" s="7">
        <v>2.1560723527272008</v>
      </c>
      <c r="K11" s="7">
        <v>2.1560723527272008</v>
      </c>
      <c r="L11" s="7">
        <v>2.1677806384414859</v>
      </c>
      <c r="M11" s="7">
        <v>2.1824159955843432</v>
      </c>
      <c r="N11" s="7">
        <v>2.1970513527272004</v>
      </c>
      <c r="O11" s="83">
        <v>2.1970513527272004</v>
      </c>
      <c r="S11" s="34"/>
      <c r="T11" s="34"/>
    </row>
    <row r="12" spans="1:20">
      <c r="S12" s="34"/>
      <c r="T12" s="34"/>
    </row>
    <row r="13" spans="1:20">
      <c r="A13" s="74" t="s">
        <v>259</v>
      </c>
      <c r="B13" s="79"/>
      <c r="C13" s="79"/>
      <c r="D13" s="79" t="s">
        <v>192</v>
      </c>
      <c r="E13" s="74"/>
      <c r="F13" s="80" t="s">
        <v>147</v>
      </c>
      <c r="G13" s="79" t="s">
        <v>20</v>
      </c>
      <c r="H13" s="80" t="s">
        <v>202</v>
      </c>
      <c r="I13" s="79">
        <v>5.4961647051001803</v>
      </c>
      <c r="J13" s="80">
        <v>29.604557975419191</v>
      </c>
      <c r="K13" s="78">
        <v>29.604557975419191</v>
      </c>
      <c r="L13" s="79">
        <v>29.604557975419191</v>
      </c>
      <c r="M13" s="79">
        <v>29.604557975419191</v>
      </c>
      <c r="N13" s="79">
        <v>29.604557975419191</v>
      </c>
      <c r="O13" s="84">
        <v>29.604557975419191</v>
      </c>
      <c r="S13" s="34"/>
      <c r="T13" s="34"/>
    </row>
    <row r="14" spans="1:20">
      <c r="S14" s="34"/>
      <c r="T14" s="34"/>
    </row>
    <row r="15" spans="1:20">
      <c r="S15" s="34"/>
      <c r="T15" s="34"/>
    </row>
    <row r="16" spans="1:20">
      <c r="A16" s="41" t="s">
        <v>193</v>
      </c>
      <c r="B16" s="41"/>
      <c r="C16" s="41" t="s">
        <v>53</v>
      </c>
      <c r="D16" s="41" t="s">
        <v>53</v>
      </c>
      <c r="E16" s="41" t="s">
        <v>164</v>
      </c>
      <c r="F16" s="41"/>
      <c r="G16" s="41" t="s">
        <v>20</v>
      </c>
      <c r="H16" s="45" t="s">
        <v>202</v>
      </c>
      <c r="I16" s="42">
        <f>I11+I13</f>
        <v>6.0685655910155702</v>
      </c>
      <c r="J16" s="42">
        <f t="shared" ref="J16:O16" si="0">J11+J13</f>
        <v>31.760630328146391</v>
      </c>
      <c r="K16" s="42">
        <f t="shared" si="0"/>
        <v>31.760630328146391</v>
      </c>
      <c r="L16" s="42">
        <f t="shared" si="0"/>
        <v>31.772338613860676</v>
      </c>
      <c r="M16" s="42">
        <f t="shared" si="0"/>
        <v>31.786973971003533</v>
      </c>
      <c r="N16" s="42">
        <f t="shared" si="0"/>
        <v>31.801609328146391</v>
      </c>
      <c r="O16" s="85">
        <f t="shared" si="0"/>
        <v>31.801609328146391</v>
      </c>
      <c r="S16" s="34"/>
      <c r="T16" s="34"/>
    </row>
    <row r="17" spans="1:20">
      <c r="S17" s="34"/>
      <c r="T17" s="34"/>
    </row>
    <row r="20" spans="1:20">
      <c r="A20" s="7" t="s">
        <v>241</v>
      </c>
      <c r="B20" s="7"/>
      <c r="C20" s="7"/>
      <c r="D20" s="7" t="s">
        <v>242</v>
      </c>
      <c r="F20" s="7" t="s">
        <v>147</v>
      </c>
      <c r="G20" s="32" t="s">
        <v>20</v>
      </c>
      <c r="H20" s="18" t="s">
        <v>202</v>
      </c>
      <c r="I20" s="7">
        <v>3.6488769270172412</v>
      </c>
      <c r="J20" s="7">
        <v>15.931928208294694</v>
      </c>
      <c r="K20" s="7">
        <v>15.931928208294694</v>
      </c>
      <c r="L20" s="7">
        <v>15.931928208294694</v>
      </c>
      <c r="M20" s="7">
        <v>15.931928208294694</v>
      </c>
      <c r="N20" s="7">
        <v>15.931928208294694</v>
      </c>
      <c r="O20" s="83">
        <v>15.931928208294694</v>
      </c>
    </row>
    <row r="21" spans="1:20">
      <c r="A21" s="7"/>
      <c r="B21" s="7"/>
      <c r="C21" s="7"/>
      <c r="D21" s="7" t="s">
        <v>243</v>
      </c>
      <c r="F21" s="7" t="s">
        <v>147</v>
      </c>
      <c r="G21" s="32" t="s">
        <v>20</v>
      </c>
      <c r="H21" s="18" t="s">
        <v>202</v>
      </c>
      <c r="I21" s="7" t="s">
        <v>262</v>
      </c>
      <c r="J21" s="7" t="s">
        <v>262</v>
      </c>
      <c r="K21" s="7" t="s">
        <v>262</v>
      </c>
      <c r="L21" s="7" t="s">
        <v>262</v>
      </c>
      <c r="M21" s="7" t="s">
        <v>262</v>
      </c>
      <c r="N21" s="7" t="s">
        <v>262</v>
      </c>
      <c r="O21" s="83" t="s">
        <v>262</v>
      </c>
    </row>
    <row r="22" spans="1:20">
      <c r="A22" s="7"/>
      <c r="B22" s="7"/>
      <c r="C22" s="7"/>
      <c r="D22" s="7" t="s">
        <v>244</v>
      </c>
      <c r="F22" s="7" t="s">
        <v>147</v>
      </c>
      <c r="G22" s="32" t="s">
        <v>20</v>
      </c>
      <c r="H22" s="18" t="s">
        <v>202</v>
      </c>
      <c r="I22" s="7" t="s">
        <v>262</v>
      </c>
      <c r="J22" s="7" t="s">
        <v>262</v>
      </c>
      <c r="K22" s="7" t="s">
        <v>262</v>
      </c>
      <c r="L22" s="7" t="s">
        <v>262</v>
      </c>
      <c r="M22" s="7" t="s">
        <v>262</v>
      </c>
      <c r="N22" s="7" t="s">
        <v>262</v>
      </c>
      <c r="O22" s="83" t="s">
        <v>262</v>
      </c>
    </row>
    <row r="23" spans="1:20" s="34" customFormat="1">
      <c r="A23" s="32"/>
      <c r="B23" s="32"/>
      <c r="C23" s="32"/>
      <c r="D23" s="32" t="s">
        <v>245</v>
      </c>
      <c r="F23" s="32" t="s">
        <v>147</v>
      </c>
      <c r="G23" s="32" t="s">
        <v>20</v>
      </c>
      <c r="H23" s="18" t="s">
        <v>202</v>
      </c>
      <c r="I23" s="7">
        <v>0</v>
      </c>
      <c r="J23" s="7">
        <v>8.7301357673600002</v>
      </c>
      <c r="K23" s="7">
        <v>9.1425397635599985</v>
      </c>
      <c r="L23" s="7">
        <v>0</v>
      </c>
      <c r="M23" s="7">
        <v>0</v>
      </c>
      <c r="N23" s="7">
        <v>0</v>
      </c>
      <c r="O23" s="83">
        <v>0</v>
      </c>
    </row>
    <row r="24" spans="1:20" s="34" customFormat="1">
      <c r="A24" s="22" t="s">
        <v>246</v>
      </c>
      <c r="B24" s="22"/>
      <c r="C24" s="22"/>
      <c r="D24" s="22"/>
      <c r="E24" s="22"/>
      <c r="F24" s="22" t="s">
        <v>147</v>
      </c>
      <c r="G24" s="32" t="s">
        <v>20</v>
      </c>
      <c r="H24" s="18" t="s">
        <v>202</v>
      </c>
      <c r="I24" s="22">
        <f t="shared" ref="I24:J24" si="1">SUM(I20:I23)</f>
        <v>3.6488769270172412</v>
      </c>
      <c r="J24" s="22">
        <f t="shared" si="1"/>
        <v>24.662063975654696</v>
      </c>
      <c r="K24" s="22">
        <f>SUM(K20:K23)</f>
        <v>25.074467971854695</v>
      </c>
      <c r="L24" s="22">
        <f t="shared" ref="L24:O24" si="2">SUM(L20:L23)</f>
        <v>15.931928208294694</v>
      </c>
      <c r="M24" s="22">
        <f t="shared" si="2"/>
        <v>15.931928208294694</v>
      </c>
      <c r="N24" s="22">
        <f t="shared" si="2"/>
        <v>15.931928208294694</v>
      </c>
      <c r="O24" s="77">
        <f t="shared" si="2"/>
        <v>15.931928208294694</v>
      </c>
    </row>
    <row r="25" spans="1:20" s="34" customFormat="1"/>
    <row r="26" spans="1:20" s="34" customFormat="1"/>
    <row r="27" spans="1:20" s="34" customFormat="1"/>
    <row r="28" spans="1:20" s="34" customFormat="1"/>
    <row r="29" spans="1:20" s="34" customFormat="1"/>
    <row r="30" spans="1:20" s="34" customFormat="1"/>
    <row r="31" spans="1:20" s="34" customFormat="1">
      <c r="G31" s="52"/>
      <c r="H31" s="55"/>
      <c r="J31" s="54"/>
      <c r="K31" s="56"/>
      <c r="O31" s="54"/>
    </row>
    <row r="32" spans="1:20" s="34" customFormat="1"/>
    <row r="33" s="34" customFormat="1"/>
    <row r="34" s="34" customFormat="1"/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87"/>
  <sheetViews>
    <sheetView zoomScale="80" zoomScaleNormal="80" workbookViewId="0">
      <selection activeCell="F13" sqref="F13:H13"/>
    </sheetView>
  </sheetViews>
  <sheetFormatPr baseColWidth="10" defaultRowHeight="12.75"/>
  <cols>
    <col min="2" max="2" width="29.85546875" customWidth="1"/>
    <col min="3" max="3" width="24.42578125" bestFit="1" customWidth="1"/>
    <col min="4" max="4" width="23.85546875" customWidth="1"/>
    <col min="5" max="5" width="28.5703125" bestFit="1" customWidth="1"/>
    <col min="6" max="6" width="24.42578125" bestFit="1" customWidth="1"/>
    <col min="7" max="7" width="7.140625" bestFit="1" customWidth="1"/>
    <col min="8" max="8" width="20.7109375" bestFit="1" customWidth="1"/>
    <col min="9" max="15" width="12.7109375" customWidth="1"/>
  </cols>
  <sheetData>
    <row r="1" spans="1:18">
      <c r="A1" t="s">
        <v>191</v>
      </c>
    </row>
    <row r="6" spans="1:18">
      <c r="A6" s="37">
        <v>1</v>
      </c>
      <c r="B6" s="37">
        <f t="shared" ref="B6:O6" si="0">A6+1</f>
        <v>2</v>
      </c>
      <c r="C6" s="37">
        <f t="shared" si="0"/>
        <v>3</v>
      </c>
      <c r="D6" s="37">
        <f t="shared" si="0"/>
        <v>4</v>
      </c>
      <c r="E6" s="37">
        <f t="shared" si="0"/>
        <v>5</v>
      </c>
      <c r="F6" s="37">
        <f t="shared" si="0"/>
        <v>6</v>
      </c>
      <c r="G6" s="37">
        <f t="shared" si="0"/>
        <v>7</v>
      </c>
      <c r="H6" s="37">
        <f t="shared" si="0"/>
        <v>8</v>
      </c>
      <c r="I6" s="37">
        <f t="shared" si="0"/>
        <v>9</v>
      </c>
      <c r="J6" s="37">
        <f t="shared" si="0"/>
        <v>10</v>
      </c>
      <c r="K6" s="37">
        <f t="shared" si="0"/>
        <v>11</v>
      </c>
      <c r="L6" s="37">
        <f t="shared" si="0"/>
        <v>12</v>
      </c>
      <c r="M6" s="37">
        <f t="shared" si="0"/>
        <v>13</v>
      </c>
      <c r="N6" s="37">
        <f t="shared" si="0"/>
        <v>14</v>
      </c>
      <c r="O6" s="37">
        <f t="shared" si="0"/>
        <v>15</v>
      </c>
    </row>
    <row r="7" spans="1:18">
      <c r="I7" t="s">
        <v>206</v>
      </c>
      <c r="J7" t="s">
        <v>207</v>
      </c>
      <c r="K7" t="s">
        <v>208</v>
      </c>
    </row>
    <row r="8" spans="1:18" s="62" customFormat="1">
      <c r="A8" s="30"/>
      <c r="B8" s="30"/>
      <c r="C8" s="30"/>
      <c r="D8" s="30"/>
      <c r="E8" s="30" t="s">
        <v>170</v>
      </c>
      <c r="F8" s="30"/>
      <c r="G8" s="30"/>
      <c r="H8" s="30"/>
      <c r="I8" s="30" t="s">
        <v>224</v>
      </c>
      <c r="J8" s="30" t="s">
        <v>224</v>
      </c>
      <c r="K8" s="30" t="s">
        <v>224</v>
      </c>
      <c r="L8" s="30" t="s">
        <v>224</v>
      </c>
      <c r="M8" s="30" t="s">
        <v>224</v>
      </c>
      <c r="N8" s="30" t="s">
        <v>224</v>
      </c>
      <c r="O8" s="30" t="s">
        <v>224</v>
      </c>
    </row>
    <row r="9" spans="1:18" s="62" customFormat="1">
      <c r="A9" s="30" t="s">
        <v>225</v>
      </c>
      <c r="B9" s="30" t="s">
        <v>0</v>
      </c>
      <c r="C9" s="30" t="s">
        <v>223</v>
      </c>
      <c r="D9" s="30" t="s">
        <v>169</v>
      </c>
      <c r="E9" s="30" t="s">
        <v>144</v>
      </c>
      <c r="F9" s="31" t="s">
        <v>145</v>
      </c>
      <c r="G9" s="30" t="s">
        <v>1</v>
      </c>
      <c r="H9" s="30" t="s">
        <v>2</v>
      </c>
      <c r="I9" s="30">
        <v>1990</v>
      </c>
      <c r="J9" s="30">
        <f>K9-1</f>
        <v>2020</v>
      </c>
      <c r="K9" s="30">
        <v>2021</v>
      </c>
      <c r="L9" s="30">
        <v>2025</v>
      </c>
      <c r="M9" s="30">
        <v>2030</v>
      </c>
      <c r="N9" s="30">
        <v>2035</v>
      </c>
      <c r="O9" s="30">
        <v>2050</v>
      </c>
    </row>
    <row r="10" spans="1:18">
      <c r="A10" s="7" t="s">
        <v>76</v>
      </c>
      <c r="B10" s="3" t="s">
        <v>257</v>
      </c>
      <c r="C10" s="1" t="s">
        <v>15</v>
      </c>
      <c r="D10" s="13" t="s">
        <v>136</v>
      </c>
      <c r="E10" s="7"/>
      <c r="F10" s="19" t="s">
        <v>155</v>
      </c>
      <c r="G10" s="28" t="s">
        <v>20</v>
      </c>
      <c r="H10" s="29" t="s">
        <v>202</v>
      </c>
      <c r="I10" s="28">
        <v>-2254.4117226033359</v>
      </c>
      <c r="J10" s="28">
        <v>-57.324798043333331</v>
      </c>
      <c r="K10" s="28">
        <v>-78.470264143333409</v>
      </c>
      <c r="L10" s="28">
        <v>44.734356223333357</v>
      </c>
      <c r="M10" s="28">
        <v>44.734356223333357</v>
      </c>
      <c r="N10" s="28">
        <v>44.734356223333357</v>
      </c>
      <c r="O10" s="28">
        <v>44.734356223333357</v>
      </c>
      <c r="P10" s="38"/>
      <c r="Q10" s="38"/>
      <c r="R10" s="38"/>
    </row>
    <row r="11" spans="1:18">
      <c r="A11" s="7" t="s">
        <v>76</v>
      </c>
      <c r="B11" s="3" t="s">
        <v>257</v>
      </c>
      <c r="C11" s="1" t="s">
        <v>15</v>
      </c>
      <c r="D11" s="13" t="s">
        <v>136</v>
      </c>
      <c r="E11" s="7"/>
      <c r="F11" s="19" t="s">
        <v>260</v>
      </c>
      <c r="G11" s="28" t="s">
        <v>20</v>
      </c>
      <c r="H11" s="29" t="s">
        <v>202</v>
      </c>
      <c r="I11" s="28">
        <v>-1127.20587</v>
      </c>
      <c r="J11" s="28">
        <v>-28.662389999999998</v>
      </c>
      <c r="K11" s="28">
        <v>-39.235129999999998</v>
      </c>
      <c r="L11" s="28">
        <v>22.367180000000001</v>
      </c>
      <c r="M11" s="28">
        <v>22.367180000000001</v>
      </c>
      <c r="N11" s="28">
        <v>22.367180000000001</v>
      </c>
      <c r="O11" s="28">
        <v>22.367180000000001</v>
      </c>
      <c r="P11" s="38"/>
      <c r="Q11" s="38"/>
      <c r="R11" s="38"/>
    </row>
    <row r="13" spans="1:18">
      <c r="A13" s="41" t="s">
        <v>76</v>
      </c>
      <c r="B13" s="44" t="s">
        <v>257</v>
      </c>
      <c r="C13" s="42" t="s">
        <v>15</v>
      </c>
      <c r="D13" s="43" t="s">
        <v>136</v>
      </c>
      <c r="E13" s="41"/>
      <c r="F13" s="87" t="s">
        <v>261</v>
      </c>
      <c r="G13" s="41" t="s">
        <v>20</v>
      </c>
      <c r="H13" s="45" t="s">
        <v>202</v>
      </c>
      <c r="I13" s="46">
        <f>I10+I11</f>
        <v>-3381.6175926033357</v>
      </c>
      <c r="J13" s="46">
        <f t="shared" ref="J13:O13" si="1">J10+J11</f>
        <v>-85.987188043333333</v>
      </c>
      <c r="K13" s="46">
        <f t="shared" si="1"/>
        <v>-117.70539414333341</v>
      </c>
      <c r="L13" s="46">
        <f t="shared" si="1"/>
        <v>67.101536223333355</v>
      </c>
      <c r="M13" s="46">
        <f t="shared" si="1"/>
        <v>67.101536223333355</v>
      </c>
      <c r="N13" s="46">
        <f t="shared" si="1"/>
        <v>67.101536223333355</v>
      </c>
      <c r="O13" s="46">
        <f t="shared" si="1"/>
        <v>67.101536223333355</v>
      </c>
    </row>
    <row r="36" s="38" customFormat="1"/>
    <row r="37" s="38" customFormat="1"/>
    <row r="38" s="38" customFormat="1"/>
    <row r="39" s="38" customFormat="1"/>
    <row r="40" s="38" customFormat="1"/>
    <row r="41" s="38" customFormat="1"/>
    <row r="42" s="38" customFormat="1"/>
    <row r="43" s="38" customFormat="1"/>
    <row r="44" s="38" customFormat="1"/>
    <row r="45" s="38" customFormat="1"/>
    <row r="46" s="38" customFormat="1"/>
    <row r="47" s="38" customFormat="1"/>
    <row r="48" s="38" customFormat="1"/>
    <row r="49" s="38" customFormat="1"/>
    <row r="50" s="38" customFormat="1"/>
    <row r="51" s="38" customFormat="1"/>
    <row r="119" spans="1:1">
      <c r="A119" s="10"/>
    </row>
    <row r="121" spans="1:1">
      <c r="A121" s="10"/>
    </row>
    <row r="147" spans="1:1">
      <c r="A147" s="10"/>
    </row>
    <row r="149" spans="1:1">
      <c r="A149" s="10"/>
    </row>
    <row r="183" spans="1:1">
      <c r="A183" s="10"/>
    </row>
    <row r="185" spans="1:1">
      <c r="A185" s="10"/>
    </row>
    <row r="187" spans="1:1">
      <c r="A187" s="10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H20"/>
  <sheetViews>
    <sheetView workbookViewId="0">
      <selection activeCell="A10" sqref="A10"/>
    </sheetView>
  </sheetViews>
  <sheetFormatPr baseColWidth="10" defaultRowHeight="12.75"/>
  <cols>
    <col min="1" max="1" width="20.5703125" customWidth="1"/>
    <col min="2" max="2" width="22.28515625" customWidth="1"/>
  </cols>
  <sheetData>
    <row r="4" spans="1:8">
      <c r="A4" s="89" t="s">
        <v>22</v>
      </c>
      <c r="B4" s="89"/>
      <c r="D4" t="s">
        <v>146</v>
      </c>
      <c r="G4" t="s">
        <v>158</v>
      </c>
    </row>
    <row r="5" spans="1:8">
      <c r="A5" s="6" t="s">
        <v>13</v>
      </c>
      <c r="B5" s="7" t="s">
        <v>23</v>
      </c>
      <c r="D5" t="s">
        <v>15</v>
      </c>
      <c r="E5" t="s">
        <v>147</v>
      </c>
      <c r="G5" t="s">
        <v>147</v>
      </c>
      <c r="H5" t="s">
        <v>159</v>
      </c>
    </row>
    <row r="6" spans="1:8">
      <c r="A6" s="8" t="s">
        <v>250</v>
      </c>
      <c r="B6" s="7" t="s">
        <v>24</v>
      </c>
      <c r="D6" t="s">
        <v>14</v>
      </c>
      <c r="E6" t="s">
        <v>14</v>
      </c>
    </row>
    <row r="7" spans="1:8">
      <c r="A7" s="8" t="s">
        <v>251</v>
      </c>
      <c r="B7" s="7" t="s">
        <v>25</v>
      </c>
      <c r="D7" t="s">
        <v>16</v>
      </c>
      <c r="E7" t="s">
        <v>16</v>
      </c>
    </row>
    <row r="8" spans="1:8">
      <c r="A8" s="8" t="s">
        <v>252</v>
      </c>
      <c r="B8" s="7" t="s">
        <v>26</v>
      </c>
    </row>
    <row r="9" spans="1:8">
      <c r="A9" s="8" t="s">
        <v>253</v>
      </c>
      <c r="B9" s="7" t="s">
        <v>27</v>
      </c>
    </row>
    <row r="10" spans="1:8">
      <c r="A10" s="8" t="s">
        <v>149</v>
      </c>
      <c r="B10" s="15" t="s">
        <v>148</v>
      </c>
    </row>
    <row r="11" spans="1:8">
      <c r="A11" s="8" t="s">
        <v>255</v>
      </c>
      <c r="B11" s="9" t="s">
        <v>233</v>
      </c>
      <c r="C11" s="7" t="s">
        <v>25</v>
      </c>
    </row>
    <row r="12" spans="1:8">
      <c r="A12" s="8" t="s">
        <v>256</v>
      </c>
      <c r="B12" s="9" t="s">
        <v>234</v>
      </c>
      <c r="C12" s="14"/>
    </row>
    <row r="13" spans="1:8">
      <c r="A13" s="8" t="s">
        <v>17</v>
      </c>
      <c r="B13" s="7" t="s">
        <v>17</v>
      </c>
    </row>
    <row r="14" spans="1:8">
      <c r="A14" s="8" t="s">
        <v>18</v>
      </c>
      <c r="B14" s="7" t="s">
        <v>28</v>
      </c>
    </row>
    <row r="15" spans="1:8">
      <c r="A15" s="8" t="s">
        <v>254</v>
      </c>
      <c r="B15" s="7" t="s">
        <v>19</v>
      </c>
    </row>
    <row r="16" spans="1:8">
      <c r="A16" s="14"/>
      <c r="B16" s="14"/>
    </row>
    <row r="18" spans="1:1">
      <c r="A18" t="s">
        <v>29</v>
      </c>
    </row>
    <row r="19" spans="1:1">
      <c r="A19" t="s">
        <v>30</v>
      </c>
    </row>
    <row r="20" spans="1:1">
      <c r="A20" t="s">
        <v>31</v>
      </c>
    </row>
  </sheetData>
  <mergeCells count="1">
    <mergeCell ref="A4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readme</vt:lpstr>
      <vt:lpstr>change_log</vt:lpstr>
      <vt:lpstr>EM_for_U_KCA</vt:lpstr>
      <vt:lpstr>LULUCF_EM_for_U_KCA</vt:lpstr>
      <vt:lpstr>EM_3B_N2O</vt:lpstr>
      <vt:lpstr>EM_2D_2G_check</vt:lpstr>
      <vt:lpstr>EM_4G</vt:lpstr>
      <vt:lpstr>mapping</vt:lpstr>
    </vt:vector>
  </TitlesOfParts>
  <Company>Bundesverwaltung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Guillevic Myriam BAFU</dc:creator>
  <cp:lastModifiedBy>Guillevic Myriam BAFU</cp:lastModifiedBy>
  <dcterms:created xsi:type="dcterms:W3CDTF">2021-12-10T07:17:17Z</dcterms:created>
  <dcterms:modified xsi:type="dcterms:W3CDTF">2023-04-25T06:24:32Z</dcterms:modified>
</cp:coreProperties>
</file>
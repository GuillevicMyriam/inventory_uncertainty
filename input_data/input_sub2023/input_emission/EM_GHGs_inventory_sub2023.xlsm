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U80862383\local_documents\python_projects_libs\python_u_and_kca\input_data\input_sub2024\input_emission\"/>
    </mc:Choice>
  </mc:AlternateContent>
  <bookViews>
    <workbookView xWindow="0" yWindow="0" windowWidth="10200" windowHeight="8025" activeTab="2"/>
  </bookViews>
  <sheets>
    <sheet name="readme" sheetId="8" r:id="rId1"/>
    <sheet name="change_log" sheetId="9" r:id="rId2"/>
    <sheet name="EM_for_U_KCA" sheetId="1" r:id="rId3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  <c r="C6" i="1" s="1"/>
  <c r="D6" i="1" s="1"/>
  <c r="E6" i="1" s="1"/>
  <c r="F6" i="1" s="1"/>
  <c r="G6" i="1" s="1"/>
  <c r="H6" i="1" s="1"/>
</calcChain>
</file>

<file path=xl/sharedStrings.xml><?xml version="1.0" encoding="utf-8"?>
<sst xmlns="http://schemas.openxmlformats.org/spreadsheetml/2006/main" count="995" uniqueCount="119">
  <si>
    <t>1A1</t>
  </si>
  <si>
    <t>1A2</t>
  </si>
  <si>
    <t>1A3a</t>
  </si>
  <si>
    <t>1A3b</t>
  </si>
  <si>
    <t>1A3c</t>
  </si>
  <si>
    <t>1A3d</t>
  </si>
  <si>
    <t>1A3e</t>
  </si>
  <si>
    <t>1A4a</t>
  </si>
  <si>
    <t>1A4b</t>
  </si>
  <si>
    <t>1A4c</t>
  </si>
  <si>
    <t>Biomass</t>
  </si>
  <si>
    <t>CH4</t>
  </si>
  <si>
    <t>CO2</t>
  </si>
  <si>
    <t>N2O</t>
  </si>
  <si>
    <t>Diesel</t>
  </si>
  <si>
    <t>Gasoline</t>
  </si>
  <si>
    <t>kt</t>
  </si>
  <si>
    <t>1A5</t>
  </si>
  <si>
    <t>2A1</t>
  </si>
  <si>
    <t>2A2</t>
  </si>
  <si>
    <t>2A3</t>
  </si>
  <si>
    <t>2A4</t>
  </si>
  <si>
    <t>2B5</t>
  </si>
  <si>
    <t>2B8</t>
  </si>
  <si>
    <t>2B10</t>
  </si>
  <si>
    <t>2B2</t>
  </si>
  <si>
    <t>2C1</t>
  </si>
  <si>
    <t>2C3</t>
  </si>
  <si>
    <t>2C4</t>
  </si>
  <si>
    <t>2C7</t>
  </si>
  <si>
    <t>2D</t>
  </si>
  <si>
    <t>2E1</t>
  </si>
  <si>
    <t>2E3</t>
  </si>
  <si>
    <t>2E5</t>
  </si>
  <si>
    <t>2F1</t>
  </si>
  <si>
    <t>2F2</t>
  </si>
  <si>
    <t>2F4</t>
  </si>
  <si>
    <t>2F5</t>
  </si>
  <si>
    <t>2G</t>
  </si>
  <si>
    <t>2H</t>
  </si>
  <si>
    <t>3A</t>
  </si>
  <si>
    <t>3B5</t>
  </si>
  <si>
    <t>3Da</t>
  </si>
  <si>
    <t>3Db</t>
  </si>
  <si>
    <t>3G</t>
  </si>
  <si>
    <t>3H</t>
  </si>
  <si>
    <t>4II</t>
  </si>
  <si>
    <t>4III</t>
  </si>
  <si>
    <t>4IV</t>
  </si>
  <si>
    <t>4V</t>
  </si>
  <si>
    <t>4A1</t>
  </si>
  <si>
    <t>4A2</t>
  </si>
  <si>
    <t>4B1</t>
  </si>
  <si>
    <t>4B2</t>
  </si>
  <si>
    <t>4C1</t>
  </si>
  <si>
    <t>4C2</t>
  </si>
  <si>
    <t>4D1</t>
  </si>
  <si>
    <t>4D2</t>
  </si>
  <si>
    <t>4E1</t>
  </si>
  <si>
    <t>4E2</t>
  </si>
  <si>
    <t>4F2</t>
  </si>
  <si>
    <t>4G</t>
  </si>
  <si>
    <t>5A</t>
  </si>
  <si>
    <t>5B</t>
  </si>
  <si>
    <t>5C</t>
  </si>
  <si>
    <t>5D</t>
  </si>
  <si>
    <t>1B</t>
  </si>
  <si>
    <t>2A</t>
  </si>
  <si>
    <t>2B</t>
  </si>
  <si>
    <t>2C</t>
  </si>
  <si>
    <t>5E</t>
  </si>
  <si>
    <t>6A</t>
  </si>
  <si>
    <t/>
  </si>
  <si>
    <t>SF6</t>
  </si>
  <si>
    <t>NF3</t>
  </si>
  <si>
    <t>All fuels</t>
  </si>
  <si>
    <t>3B1-4</t>
  </si>
  <si>
    <t>PFCs</t>
  </si>
  <si>
    <t>HFCs</t>
  </si>
  <si>
    <t>GMY</t>
  </si>
  <si>
    <t>This excel sheet is to extract/compute emissions for GHGs as used for the uncertainty computation and KCA.</t>
  </si>
  <si>
    <t>What to do for the yearly actualisation</t>
  </si>
  <si>
    <t>Base year</t>
  </si>
  <si>
    <t>1B2a</t>
  </si>
  <si>
    <t>1B2b</t>
  </si>
  <si>
    <t>2G3</t>
  </si>
  <si>
    <t>2G4</t>
  </si>
  <si>
    <t>CO2 fossil ox NMVOC total</t>
  </si>
  <si>
    <t>CO2 fossil ox CH4</t>
  </si>
  <si>
    <t>CO2 fossil ox CO</t>
  </si>
  <si>
    <t>Compound</t>
  </si>
  <si>
    <t>Category code</t>
  </si>
  <si>
    <t>1B2c</t>
  </si>
  <si>
    <t>1A2 Other fuels: now it should directly be == CRF template (CSS biogen/fossil, etc.).</t>
  </si>
  <si>
    <t>2D1</t>
  </si>
  <si>
    <t>2D2</t>
  </si>
  <si>
    <t>2D3</t>
  </si>
  <si>
    <t>2H3</t>
  </si>
  <si>
    <t>Gaseous fuels</t>
  </si>
  <si>
    <t>Liquid fuels</t>
  </si>
  <si>
    <t>Solid fuels</t>
  </si>
  <si>
    <t>Other fuels</t>
  </si>
  <si>
    <t>Liquefied petroleum gas</t>
  </si>
  <si>
    <t>Kerosene fossil</t>
  </si>
  <si>
    <t>Comment for notation key</t>
  </si>
  <si>
    <t>GMY 20230206, based on NID: battery recycling plant started in 1992.</t>
  </si>
  <si>
    <t>CRT</t>
  </si>
  <si>
    <t>Category name</t>
  </si>
  <si>
    <t>Resource</t>
  </si>
  <si>
    <t>Unit</t>
  </si>
  <si>
    <t>Emission</t>
  </si>
  <si>
    <t>Nomenclature class</t>
  </si>
  <si>
    <t>Go to EM_for_U_KCA and update the reporting year in cell H9.</t>
  </si>
  <si>
    <t>The base year should remain 1990.</t>
  </si>
  <si>
    <t>The data will be read from the EMIS database.</t>
  </si>
  <si>
    <t>Export this file as standalone Excel.</t>
  </si>
  <si>
    <t>Reporting year</t>
  </si>
  <si>
    <t>NO</t>
  </si>
  <si>
    <t>GMY 20230206 based on NID: SF6 use in magnesium foundries only from 1997 to 2016. Import of SF6 for use in magnesium foundries prohibited from 2017.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</si>
</sst>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Frutiger Light"/>
      <family val="2"/>
    </font>
    <font>
      <sz val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37">
    <xf numFmtId="0" fontId="0" fillId="0" borderId="0" xfId="0"/>
    <xf numFmtId="0" fontId="1" fillId="0" borderId="1" xfId="1" applyFont="1" applyBorder="1" applyAlignment="1">
      <alignment horizontal="center" vertical="center"/>
    </xf>
    <xf numFmtId="0" fontId="1" fillId="0" borderId="1" xfId="1" applyFont="1" applyFill="1" applyBorder="1" applyAlignment="1">
      <alignment horizontal="center" vertical="center"/>
    </xf>
    <xf numFmtId="0" fontId="1" fillId="0" borderId="1" xfId="1" applyFont="1" applyBorder="1" applyAlignment="1">
      <alignment horizontal="left" vertical="center"/>
    </xf>
    <xf numFmtId="0" fontId="1" fillId="0" borderId="1" xfId="1" applyFont="1" applyFill="1" applyBorder="1" applyAlignment="1">
      <alignment horizontal="left" vertical="center"/>
    </xf>
    <xf numFmtId="0" fontId="0" fillId="0" borderId="1" xfId="1" applyFont="1" applyBorder="1" applyAlignment="1">
      <alignment horizontal="center" vertical="center"/>
    </xf>
    <xf numFmtId="0" fontId="0" fillId="0" borderId="1" xfId="0" applyBorder="1"/>
    <xf numFmtId="18" fontId="0" fillId="0" borderId="0" xfId="0" applyNumberFormat="1"/>
    <xf numFmtId="49" fontId="0" fillId="0" borderId="1" xfId="0" applyNumberFormat="1" applyBorder="1"/>
    <xf numFmtId="0" fontId="0" fillId="3" borderId="1" xfId="1" applyFont="1" applyFill="1" applyBorder="1" applyAlignment="1">
      <alignment horizontal="left" vertical="center"/>
    </xf>
    <xf numFmtId="0" fontId="1" fillId="4" borderId="1" xfId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0" borderId="1" xfId="0" applyFill="1" applyBorder="1"/>
    <xf numFmtId="0" fontId="0" fillId="5" borderId="1" xfId="0" applyFill="1" applyBorder="1"/>
    <xf numFmtId="49" fontId="0" fillId="5" borderId="1" xfId="0" applyNumberFormat="1" applyFill="1" applyBorder="1"/>
    <xf numFmtId="0" fontId="0" fillId="6" borderId="1" xfId="0" applyFill="1" applyBorder="1" applyAlignment="1">
      <alignment horizontal="center"/>
    </xf>
    <xf numFmtId="0" fontId="0" fillId="0" borderId="0" xfId="0" applyFill="1"/>
    <xf numFmtId="0" fontId="0" fillId="7" borderId="1" xfId="0" applyFill="1" applyBorder="1"/>
    <xf numFmtId="0" fontId="1" fillId="7" borderId="1" xfId="1" applyFont="1" applyFill="1" applyBorder="1" applyAlignment="1">
      <alignment horizontal="center" vertical="center"/>
    </xf>
    <xf numFmtId="0" fontId="1" fillId="7" borderId="1" xfId="1" applyFont="1" applyFill="1" applyBorder="1" applyAlignment="1">
      <alignment horizontal="left" vertical="center"/>
    </xf>
    <xf numFmtId="0" fontId="0" fillId="8" borderId="1" xfId="0" applyFill="1" applyBorder="1"/>
    <xf numFmtId="0" fontId="1" fillId="0" borderId="0" xfId="1" applyFont="1" applyFill="1" applyBorder="1" applyAlignment="1">
      <alignment horizontal="center" vertical="center"/>
    </xf>
    <xf numFmtId="0" fontId="0" fillId="4" borderId="1" xfId="0" applyFill="1" applyBorder="1"/>
    <xf numFmtId="0" fontId="1" fillId="4" borderId="1" xfId="1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Alignment="1">
      <alignment vertical="center"/>
    </xf>
    <xf numFmtId="0" fontId="0" fillId="9" borderId="1" xfId="0" applyFill="1" applyBorder="1"/>
    <xf numFmtId="0" fontId="1" fillId="9" borderId="1" xfId="1" applyFont="1" applyFill="1" applyBorder="1" applyAlignment="1">
      <alignment horizontal="center" vertical="center"/>
    </xf>
    <xf numFmtId="0" fontId="1" fillId="9" borderId="1" xfId="1" applyFont="1" applyFill="1" applyBorder="1" applyAlignment="1">
      <alignment horizontal="left" vertical="center"/>
    </xf>
    <xf numFmtId="0" fontId="0" fillId="0" borderId="1" xfId="1" applyFont="1" applyBorder="1" applyAlignment="1">
      <alignment horizontal="left" vertical="center"/>
    </xf>
    <xf numFmtId="0" fontId="3" fillId="0" borderId="1" xfId="0" applyFont="1" applyFill="1" applyBorder="1"/>
    <xf numFmtId="4" fontId="0" fillId="0" borderId="0" xfId="0" applyNumberFormat="1" applyFill="1"/>
    <xf numFmtId="0" fontId="0" fillId="0" borderId="1" xfId="1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0" fillId="0" borderId="0" xfId="0" applyAlignment="1">
      <alignment horizontal="center"/>
    </xf>
    <xf numFmtId="49" fontId="0" fillId="0" borderId="0" xfId="0" applyNumberFormat="1" applyFill="1" applyBorder="1"/>
  </cellXfs>
  <cellStyles count="2">
    <cellStyle name="Normal" xfId="0" builtinId="0"/>
    <cellStyle name="Standard 2" xfId="1"/>
  </cellStyles>
  <dxfs count="2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9"/>
  <sheetViews>
    <sheetView workbookViewId="0">
      <selection activeCell="C10" sqref="C10"/>
    </sheetView>
  </sheetViews>
  <sheetFormatPr baseColWidth="10" defaultRowHeight="12.75"/>
  <cols>
    <col min="3" max="3" width="67.85546875" customWidth="1"/>
  </cols>
  <sheetData>
    <row r="3" spans="1:3">
      <c r="A3" s="25">
        <v>44782</v>
      </c>
      <c r="B3" t="s">
        <v>79</v>
      </c>
      <c r="C3" t="s">
        <v>80</v>
      </c>
    </row>
    <row r="5" spans="1:3">
      <c r="C5" t="s">
        <v>81</v>
      </c>
    </row>
    <row r="6" spans="1:3">
      <c r="C6" t="s">
        <v>112</v>
      </c>
    </row>
    <row r="7" spans="1:3">
      <c r="C7" t="s">
        <v>113</v>
      </c>
    </row>
    <row r="8" spans="1:3">
      <c r="C8" t="s">
        <v>114</v>
      </c>
    </row>
    <row r="9" spans="1:3">
      <c r="C9" t="s">
        <v>115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4"/>
  <sheetViews>
    <sheetView workbookViewId="0">
      <selection activeCell="A4" sqref="A4:C4"/>
    </sheetView>
  </sheetViews>
  <sheetFormatPr baseColWidth="10" defaultRowHeight="12.75"/>
  <sheetData>
    <row r="3" spans="1:3">
      <c r="A3" s="25">
        <v>44782</v>
      </c>
      <c r="B3" t="s">
        <v>79</v>
      </c>
      <c r="C3" t="s">
        <v>93</v>
      </c>
    </row>
    <row r="4" spans="1:3">
      <c r="A4" s="2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6:K378"/>
  <sheetViews>
    <sheetView tabSelected="1" topLeftCell="A4" zoomScale="90" zoomScaleNormal="90" workbookViewId="0">
      <pane ySplit="2490" topLeftCell="A183" activePane="bottomLeft"/>
      <selection activeCell="G10" sqref="G10:H201"/>
      <selection pane="bottomLeft" activeCell="G205" sqref="G205:H205"/>
    </sheetView>
  </sheetViews>
  <sheetFormatPr baseColWidth="10" defaultRowHeight="12.75"/>
  <cols>
    <col min="1" max="1" width="13.42578125" bestFit="1" customWidth="1"/>
    <col min="4" max="4" width="22.28515625" bestFit="1" customWidth="1"/>
    <col min="5" max="5" width="24.42578125" bestFit="1" customWidth="1"/>
    <col min="6" max="6" width="7.140625" bestFit="1" customWidth="1"/>
    <col min="7" max="7" width="20.28515625" bestFit="1" customWidth="1"/>
    <col min="8" max="8" width="12.7109375" customWidth="1"/>
  </cols>
  <sheetData>
    <row r="6" spans="1:9">
      <c r="A6" s="16">
        <v>1</v>
      </c>
      <c r="B6" s="16">
        <f>A6+1</f>
        <v>2</v>
      </c>
      <c r="C6" s="16">
        <f t="shared" ref="C6:H6" si="0">B6+1</f>
        <v>3</v>
      </c>
      <c r="D6" s="16">
        <f t="shared" si="0"/>
        <v>4</v>
      </c>
      <c r="E6" s="16">
        <f t="shared" si="0"/>
        <v>5</v>
      </c>
      <c r="F6" s="16">
        <f t="shared" si="0"/>
        <v>6</v>
      </c>
      <c r="G6" s="16">
        <f t="shared" si="0"/>
        <v>7</v>
      </c>
      <c r="H6" s="16">
        <f t="shared" si="0"/>
        <v>8</v>
      </c>
    </row>
    <row r="7" spans="1:9">
      <c r="G7" s="35" t="s">
        <v>82</v>
      </c>
      <c r="H7" s="35" t="s">
        <v>116</v>
      </c>
    </row>
    <row r="8" spans="1:9" s="26" customFormat="1">
      <c r="A8" s="34"/>
      <c r="B8" s="11"/>
      <c r="C8" s="11"/>
      <c r="D8" s="11"/>
      <c r="E8" s="11"/>
      <c r="F8" s="11"/>
      <c r="G8" s="11" t="s">
        <v>110</v>
      </c>
      <c r="H8" s="11" t="s">
        <v>110</v>
      </c>
      <c r="I8" s="26" t="s">
        <v>104</v>
      </c>
    </row>
    <row r="9" spans="1:9" s="26" customFormat="1" ht="25.5">
      <c r="A9" s="12" t="s">
        <v>111</v>
      </c>
      <c r="B9" s="12" t="s">
        <v>91</v>
      </c>
      <c r="C9" s="12" t="s">
        <v>107</v>
      </c>
      <c r="D9" s="11" t="s">
        <v>108</v>
      </c>
      <c r="E9" s="11" t="s">
        <v>90</v>
      </c>
      <c r="F9" s="11" t="s">
        <v>109</v>
      </c>
      <c r="G9" s="11">
        <v>1990</v>
      </c>
      <c r="H9" s="11">
        <v>2021</v>
      </c>
    </row>
    <row r="10" spans="1:9">
      <c r="A10" s="6" t="s">
        <v>106</v>
      </c>
      <c r="B10" s="8" t="s">
        <v>0</v>
      </c>
      <c r="C10" s="8"/>
      <c r="D10" s="3" t="s">
        <v>10</v>
      </c>
      <c r="E10" s="1" t="s">
        <v>11</v>
      </c>
      <c r="F10" s="6" t="s">
        <v>16</v>
      </c>
      <c r="G10" s="6">
        <v>0.44896460000000005</v>
      </c>
      <c r="H10" s="6">
        <v>0.15664603434666668</v>
      </c>
    </row>
    <row r="11" spans="1:9">
      <c r="A11" s="6" t="s">
        <v>106</v>
      </c>
      <c r="B11" s="8" t="s">
        <v>0</v>
      </c>
      <c r="C11" s="8"/>
      <c r="D11" s="30" t="s">
        <v>98</v>
      </c>
      <c r="E11" s="1" t="s">
        <v>11</v>
      </c>
      <c r="F11" s="6" t="s">
        <v>16</v>
      </c>
      <c r="G11" s="6">
        <v>0.12148079641600003</v>
      </c>
      <c r="H11" s="6">
        <v>0.25784590440000005</v>
      </c>
    </row>
    <row r="12" spans="1:9">
      <c r="A12" s="6" t="s">
        <v>106</v>
      </c>
      <c r="B12" s="8" t="s">
        <v>0</v>
      </c>
      <c r="C12" s="8"/>
      <c r="D12" s="3" t="s">
        <v>99</v>
      </c>
      <c r="E12" s="1" t="s">
        <v>11</v>
      </c>
      <c r="F12" s="6" t="s">
        <v>16</v>
      </c>
      <c r="G12" s="6">
        <v>0.58036160000000003</v>
      </c>
      <c r="H12" s="6">
        <v>0.16601563978944001</v>
      </c>
    </row>
    <row r="13" spans="1:9">
      <c r="A13" s="6" t="s">
        <v>106</v>
      </c>
      <c r="B13" s="8" t="s">
        <v>0</v>
      </c>
      <c r="C13" s="8"/>
      <c r="D13" s="3" t="s">
        <v>100</v>
      </c>
      <c r="E13" s="1" t="s">
        <v>11</v>
      </c>
      <c r="F13" s="6" t="s">
        <v>16</v>
      </c>
      <c r="G13" s="6">
        <v>0.1484</v>
      </c>
      <c r="H13" s="6" t="s">
        <v>117</v>
      </c>
    </row>
    <row r="14" spans="1:9">
      <c r="A14" s="6" t="s">
        <v>106</v>
      </c>
      <c r="B14" s="6" t="s">
        <v>0</v>
      </c>
      <c r="C14" s="6"/>
      <c r="D14" s="3" t="s">
        <v>98</v>
      </c>
      <c r="E14" s="1" t="s">
        <v>12</v>
      </c>
      <c r="F14" s="6" t="s">
        <v>16</v>
      </c>
      <c r="G14" s="6">
        <v>243.39545281920002</v>
      </c>
      <c r="H14" s="6">
        <v>514.77093057000013</v>
      </c>
    </row>
    <row r="15" spans="1:9">
      <c r="A15" s="6" t="s">
        <v>106</v>
      </c>
      <c r="B15" s="6" t="s">
        <v>0</v>
      </c>
      <c r="C15" s="6"/>
      <c r="D15" s="3" t="s">
        <v>99</v>
      </c>
      <c r="E15" s="1" t="s">
        <v>12</v>
      </c>
      <c r="F15" s="6" t="s">
        <v>16</v>
      </c>
      <c r="G15" s="6">
        <v>685.80618000000004</v>
      </c>
      <c r="H15" s="6">
        <v>275.92249959392001</v>
      </c>
    </row>
    <row r="16" spans="1:9">
      <c r="A16" s="6" t="s">
        <v>106</v>
      </c>
      <c r="B16" s="6" t="s">
        <v>0</v>
      </c>
      <c r="C16" s="6"/>
      <c r="D16" s="3" t="s">
        <v>101</v>
      </c>
      <c r="E16" s="1" t="s">
        <v>12</v>
      </c>
      <c r="F16" s="6" t="s">
        <v>16</v>
      </c>
      <c r="G16" s="6">
        <v>1491.5508514484404</v>
      </c>
      <c r="H16" s="6">
        <v>2409.2187968427229</v>
      </c>
    </row>
    <row r="17" spans="1:8">
      <c r="A17" s="6" t="s">
        <v>106</v>
      </c>
      <c r="B17" s="6" t="s">
        <v>0</v>
      </c>
      <c r="C17" s="6"/>
      <c r="D17" s="3" t="s">
        <v>100</v>
      </c>
      <c r="E17" s="1" t="s">
        <v>12</v>
      </c>
      <c r="F17" s="6" t="s">
        <v>16</v>
      </c>
      <c r="G17" s="6">
        <v>49.131</v>
      </c>
      <c r="H17" s="6" t="s">
        <v>117</v>
      </c>
    </row>
    <row r="18" spans="1:8">
      <c r="A18" s="6" t="s">
        <v>106</v>
      </c>
      <c r="B18" s="6" t="s">
        <v>0</v>
      </c>
      <c r="C18" s="6"/>
      <c r="D18" s="3" t="s">
        <v>10</v>
      </c>
      <c r="E18" s="1" t="s">
        <v>13</v>
      </c>
      <c r="F18" s="6" t="s">
        <v>16</v>
      </c>
      <c r="G18" s="6">
        <v>20.079878178987723</v>
      </c>
      <c r="H18" s="6">
        <v>12.8238761330594</v>
      </c>
    </row>
    <row r="19" spans="1:8">
      <c r="A19" s="6" t="s">
        <v>106</v>
      </c>
      <c r="B19" s="6" t="s">
        <v>0</v>
      </c>
      <c r="C19" s="6"/>
      <c r="D19" s="3" t="s">
        <v>98</v>
      </c>
      <c r="E19" s="1" t="s">
        <v>13</v>
      </c>
      <c r="F19" s="6" t="s">
        <v>16</v>
      </c>
      <c r="G19" s="6">
        <v>0.11497289660800003</v>
      </c>
      <c r="H19" s="6">
        <v>0.24403273095000003</v>
      </c>
    </row>
    <row r="20" spans="1:8">
      <c r="A20" s="6" t="s">
        <v>106</v>
      </c>
      <c r="B20" s="6" t="s">
        <v>0</v>
      </c>
      <c r="C20" s="6"/>
      <c r="D20" s="3" t="s">
        <v>99</v>
      </c>
      <c r="E20" s="1" t="s">
        <v>13</v>
      </c>
      <c r="F20" s="6" t="s">
        <v>16</v>
      </c>
      <c r="G20" s="6">
        <v>0.98273660000000007</v>
      </c>
      <c r="H20" s="6">
        <v>0.19715814480072003</v>
      </c>
    </row>
    <row r="21" spans="1:8">
      <c r="A21" s="6" t="s">
        <v>106</v>
      </c>
      <c r="B21" s="6" t="s">
        <v>0</v>
      </c>
      <c r="C21" s="6"/>
      <c r="D21" s="3" t="s">
        <v>101</v>
      </c>
      <c r="E21" s="1" t="s">
        <v>13</v>
      </c>
      <c r="F21" s="6" t="s">
        <v>16</v>
      </c>
      <c r="G21" s="6">
        <v>21.633381000914643</v>
      </c>
      <c r="H21" s="6">
        <v>7.2620665995588238</v>
      </c>
    </row>
    <row r="22" spans="1:8">
      <c r="A22" s="6" t="s">
        <v>106</v>
      </c>
      <c r="B22" s="6" t="s">
        <v>0</v>
      </c>
      <c r="C22" s="6"/>
      <c r="D22" s="3" t="s">
        <v>100</v>
      </c>
      <c r="E22" s="1" t="s">
        <v>13</v>
      </c>
      <c r="F22" s="6" t="s">
        <v>16</v>
      </c>
      <c r="G22" s="6">
        <v>0.210675</v>
      </c>
      <c r="H22" s="6" t="s">
        <v>117</v>
      </c>
    </row>
    <row r="23" spans="1:8">
      <c r="A23" s="6" t="s">
        <v>106</v>
      </c>
      <c r="B23" s="6" t="s">
        <v>1</v>
      </c>
      <c r="C23" s="6"/>
      <c r="D23" s="3" t="s">
        <v>10</v>
      </c>
      <c r="E23" s="1" t="s">
        <v>11</v>
      </c>
      <c r="F23" s="6" t="s">
        <v>16</v>
      </c>
      <c r="G23" s="6">
        <v>4.15713961236</v>
      </c>
      <c r="H23" s="6">
        <v>2.4106596327915226</v>
      </c>
    </row>
    <row r="24" spans="1:8">
      <c r="A24" s="6" t="s">
        <v>106</v>
      </c>
      <c r="B24" s="6" t="s">
        <v>1</v>
      </c>
      <c r="C24" s="6"/>
      <c r="D24" s="3" t="s">
        <v>98</v>
      </c>
      <c r="E24" s="1" t="s">
        <v>11</v>
      </c>
      <c r="F24" s="6" t="s">
        <v>16</v>
      </c>
      <c r="G24" s="6">
        <v>0.53447089022600003</v>
      </c>
      <c r="H24" s="6">
        <v>1.10856238346392</v>
      </c>
    </row>
    <row r="25" spans="1:8">
      <c r="A25" s="6" t="s">
        <v>106</v>
      </c>
      <c r="B25" s="6" t="s">
        <v>1</v>
      </c>
      <c r="C25" s="6"/>
      <c r="D25" s="3" t="s">
        <v>99</v>
      </c>
      <c r="E25" s="1" t="s">
        <v>11</v>
      </c>
      <c r="F25" s="6" t="s">
        <v>16</v>
      </c>
      <c r="G25" s="6">
        <v>5.1412841898559574</v>
      </c>
      <c r="H25" s="6">
        <v>1.1097912126602731</v>
      </c>
    </row>
    <row r="26" spans="1:8">
      <c r="A26" s="6" t="s">
        <v>106</v>
      </c>
      <c r="B26" s="6" t="s">
        <v>1</v>
      </c>
      <c r="C26" s="6"/>
      <c r="D26" s="3" t="s">
        <v>101</v>
      </c>
      <c r="E26" s="1" t="s">
        <v>11</v>
      </c>
      <c r="F26" s="6" t="s">
        <v>16</v>
      </c>
      <c r="G26" s="6">
        <v>0.86773738800000011</v>
      </c>
      <c r="H26" s="6">
        <v>0.70653191025200002</v>
      </c>
    </row>
    <row r="27" spans="1:8">
      <c r="A27" s="6" t="s">
        <v>106</v>
      </c>
      <c r="B27" s="6" t="s">
        <v>1</v>
      </c>
      <c r="C27" s="6"/>
      <c r="D27" s="3" t="s">
        <v>100</v>
      </c>
      <c r="E27" s="1" t="s">
        <v>11</v>
      </c>
      <c r="F27" s="6" t="s">
        <v>16</v>
      </c>
      <c r="G27" s="6">
        <v>0.34751430167999997</v>
      </c>
      <c r="H27" s="6">
        <v>0.197583215018</v>
      </c>
    </row>
    <row r="28" spans="1:8">
      <c r="A28" s="6" t="s">
        <v>106</v>
      </c>
      <c r="B28" s="6" t="s">
        <v>1</v>
      </c>
      <c r="C28" s="6"/>
      <c r="D28" s="3" t="s">
        <v>98</v>
      </c>
      <c r="E28" s="1" t="s">
        <v>12</v>
      </c>
      <c r="F28" s="6" t="s">
        <v>16</v>
      </c>
      <c r="G28" s="6">
        <v>1091.14499997195</v>
      </c>
      <c r="H28" s="6">
        <v>2214.7580000704343</v>
      </c>
    </row>
    <row r="29" spans="1:8">
      <c r="A29" s="6" t="s">
        <v>106</v>
      </c>
      <c r="B29" s="6" t="s">
        <v>1</v>
      </c>
      <c r="C29" s="6"/>
      <c r="D29" s="3" t="s">
        <v>99</v>
      </c>
      <c r="E29" s="1" t="s">
        <v>12</v>
      </c>
      <c r="F29" s="6" t="s">
        <v>16</v>
      </c>
      <c r="G29" s="6">
        <v>3974.3227429292333</v>
      </c>
      <c r="H29" s="6">
        <v>1551.8893592561349</v>
      </c>
    </row>
    <row r="30" spans="1:8" s="17" customFormat="1">
      <c r="A30" s="6" t="s">
        <v>106</v>
      </c>
      <c r="B30" s="27" t="s">
        <v>1</v>
      </c>
      <c r="C30" s="27"/>
      <c r="D30" s="29" t="s">
        <v>101</v>
      </c>
      <c r="E30" s="28" t="s">
        <v>12</v>
      </c>
      <c r="F30" s="27" t="s">
        <v>16</v>
      </c>
      <c r="G30" s="27">
        <v>192.37448106880001</v>
      </c>
      <c r="H30" s="27">
        <v>445.45653747879999</v>
      </c>
    </row>
    <row r="31" spans="1:8">
      <c r="A31" s="6" t="s">
        <v>106</v>
      </c>
      <c r="B31" s="6" t="s">
        <v>1</v>
      </c>
      <c r="C31" s="6"/>
      <c r="D31" s="3" t="s">
        <v>100</v>
      </c>
      <c r="E31" s="1" t="s">
        <v>12</v>
      </c>
      <c r="F31" s="6" t="s">
        <v>16</v>
      </c>
      <c r="G31" s="6">
        <v>1274.7035995020003</v>
      </c>
      <c r="H31" s="6">
        <v>341.76465876538504</v>
      </c>
    </row>
    <row r="32" spans="1:8">
      <c r="A32" s="6" t="s">
        <v>106</v>
      </c>
      <c r="B32" s="6" t="s">
        <v>1</v>
      </c>
      <c r="C32" s="6"/>
      <c r="D32" s="3" t="s">
        <v>10</v>
      </c>
      <c r="E32" s="1" t="s">
        <v>13</v>
      </c>
      <c r="F32" s="6" t="s">
        <v>16</v>
      </c>
      <c r="G32" s="6">
        <v>4.71436344398</v>
      </c>
      <c r="H32" s="6">
        <v>17.71769223702519</v>
      </c>
    </row>
    <row r="33" spans="1:8">
      <c r="A33" s="6" t="s">
        <v>106</v>
      </c>
      <c r="B33" s="6" t="s">
        <v>1</v>
      </c>
      <c r="C33" s="6"/>
      <c r="D33" s="3" t="s">
        <v>98</v>
      </c>
      <c r="E33" s="1" t="s">
        <v>13</v>
      </c>
      <c r="F33" s="6" t="s">
        <v>16</v>
      </c>
      <c r="G33" s="6">
        <v>0.51542499998675007</v>
      </c>
      <c r="H33" s="6">
        <v>1.0499300000333902</v>
      </c>
    </row>
    <row r="34" spans="1:8">
      <c r="A34" s="6" t="s">
        <v>106</v>
      </c>
      <c r="B34" s="6" t="s">
        <v>1</v>
      </c>
      <c r="C34" s="6"/>
      <c r="D34" s="3" t="s">
        <v>99</v>
      </c>
      <c r="E34" s="1" t="s">
        <v>13</v>
      </c>
      <c r="F34" s="6" t="s">
        <v>16</v>
      </c>
      <c r="G34" s="6">
        <v>11.871446063112169</v>
      </c>
      <c r="H34" s="6">
        <v>9.0428881150469245</v>
      </c>
    </row>
    <row r="35" spans="1:8">
      <c r="A35" s="6" t="s">
        <v>106</v>
      </c>
      <c r="B35" s="6" t="s">
        <v>1</v>
      </c>
      <c r="C35" s="6"/>
      <c r="D35" s="3" t="s">
        <v>101</v>
      </c>
      <c r="E35" s="1" t="s">
        <v>13</v>
      </c>
      <c r="F35" s="6" t="s">
        <v>16</v>
      </c>
      <c r="G35" s="6">
        <v>1.9739319067200001</v>
      </c>
      <c r="H35" s="6">
        <v>5.2670047709770005</v>
      </c>
    </row>
    <row r="36" spans="1:8">
      <c r="A36" s="6" t="s">
        <v>106</v>
      </c>
      <c r="B36" s="6" t="s">
        <v>1</v>
      </c>
      <c r="C36" s="6"/>
      <c r="D36" s="3" t="s">
        <v>100</v>
      </c>
      <c r="E36" s="1" t="s">
        <v>13</v>
      </c>
      <c r="F36" s="6" t="s">
        <v>16</v>
      </c>
      <c r="G36" s="6">
        <v>5.4620961953400018</v>
      </c>
      <c r="H36" s="6">
        <v>1.4298925938386255</v>
      </c>
    </row>
    <row r="37" spans="1:8">
      <c r="A37" s="6" t="s">
        <v>106</v>
      </c>
      <c r="B37" s="6" t="s">
        <v>2</v>
      </c>
      <c r="C37" s="6"/>
      <c r="D37" s="30" t="s">
        <v>103</v>
      </c>
      <c r="E37" s="1" t="s">
        <v>11</v>
      </c>
      <c r="F37" s="6" t="s">
        <v>16</v>
      </c>
      <c r="G37" s="6">
        <v>0.19133334823816367</v>
      </c>
      <c r="H37" s="6">
        <v>9.9710763554533274E-2</v>
      </c>
    </row>
    <row r="38" spans="1:8">
      <c r="A38" s="6" t="s">
        <v>106</v>
      </c>
      <c r="B38" s="6" t="s">
        <v>2</v>
      </c>
      <c r="C38" s="6"/>
      <c r="D38" s="30" t="s">
        <v>103</v>
      </c>
      <c r="E38" s="1" t="s">
        <v>12</v>
      </c>
      <c r="F38" s="6" t="s">
        <v>16</v>
      </c>
      <c r="G38" s="6">
        <v>252.55489313292</v>
      </c>
      <c r="H38" s="6">
        <v>59.009641600000002</v>
      </c>
    </row>
    <row r="39" spans="1:8">
      <c r="A39" s="6" t="s">
        <v>106</v>
      </c>
      <c r="B39" s="6" t="s">
        <v>2</v>
      </c>
      <c r="C39" s="6"/>
      <c r="D39" s="30" t="s">
        <v>103</v>
      </c>
      <c r="E39" s="1" t="s">
        <v>13</v>
      </c>
      <c r="F39" s="6" t="s">
        <v>16</v>
      </c>
      <c r="G39" s="6">
        <v>1.828607832793</v>
      </c>
      <c r="H39" s="6">
        <v>0.42960315999999998</v>
      </c>
    </row>
    <row r="40" spans="1:8">
      <c r="A40" s="6" t="s">
        <v>106</v>
      </c>
      <c r="B40" s="6" t="s">
        <v>3</v>
      </c>
      <c r="C40" s="6"/>
      <c r="D40" s="3" t="s">
        <v>10</v>
      </c>
      <c r="E40" s="1" t="s">
        <v>11</v>
      </c>
      <c r="F40" s="6" t="s">
        <v>16</v>
      </c>
      <c r="G40" s="6" t="s">
        <v>117</v>
      </c>
      <c r="H40" s="6">
        <v>0.63629581927510248</v>
      </c>
    </row>
    <row r="41" spans="1:8">
      <c r="A41" s="6" t="s">
        <v>106</v>
      </c>
      <c r="B41" s="6" t="s">
        <v>3</v>
      </c>
      <c r="C41" s="6"/>
      <c r="D41" s="4" t="s">
        <v>14</v>
      </c>
      <c r="E41" s="2" t="s">
        <v>11</v>
      </c>
      <c r="F41" s="6" t="s">
        <v>16</v>
      </c>
      <c r="G41" s="6">
        <v>2.5568325661561038</v>
      </c>
      <c r="H41" s="6">
        <v>6.6599107110967868</v>
      </c>
    </row>
    <row r="42" spans="1:8">
      <c r="A42" s="6" t="s">
        <v>106</v>
      </c>
      <c r="B42" s="6" t="s">
        <v>3</v>
      </c>
      <c r="C42" s="6"/>
      <c r="D42" s="4" t="s">
        <v>98</v>
      </c>
      <c r="E42" s="2" t="s">
        <v>11</v>
      </c>
      <c r="F42" s="6" t="s">
        <v>16</v>
      </c>
      <c r="G42" s="6" t="s">
        <v>117</v>
      </c>
      <c r="H42" s="6">
        <v>0.28212360110629969</v>
      </c>
    </row>
    <row r="43" spans="1:8">
      <c r="A43" s="6" t="s">
        <v>106</v>
      </c>
      <c r="B43" s="6" t="s">
        <v>3</v>
      </c>
      <c r="C43" s="6"/>
      <c r="D43" s="4" t="s">
        <v>15</v>
      </c>
      <c r="E43" s="2" t="s">
        <v>11</v>
      </c>
      <c r="F43" s="6" t="s">
        <v>16</v>
      </c>
      <c r="G43" s="6">
        <v>128.90975227045436</v>
      </c>
      <c r="H43" s="6">
        <v>14.280370558005419</v>
      </c>
    </row>
    <row r="44" spans="1:8">
      <c r="A44" s="6" t="s">
        <v>106</v>
      </c>
      <c r="B44" s="6" t="s">
        <v>3</v>
      </c>
      <c r="C44" s="6"/>
      <c r="D44" s="4" t="s">
        <v>102</v>
      </c>
      <c r="E44" s="2" t="s">
        <v>11</v>
      </c>
      <c r="F44" s="6" t="s">
        <v>16</v>
      </c>
      <c r="G44" s="6" t="s">
        <v>117</v>
      </c>
      <c r="H44" s="6">
        <v>6.7584783053948152E-4</v>
      </c>
    </row>
    <row r="45" spans="1:8">
      <c r="A45" s="6" t="s">
        <v>106</v>
      </c>
      <c r="B45" s="6" t="s">
        <v>3</v>
      </c>
      <c r="C45" s="6"/>
      <c r="D45" s="4" t="s">
        <v>14</v>
      </c>
      <c r="E45" s="2" t="s">
        <v>12</v>
      </c>
      <c r="F45" s="6" t="s">
        <v>16</v>
      </c>
      <c r="G45" s="6">
        <v>2631.9412507712004</v>
      </c>
      <c r="H45" s="6">
        <v>7035.4268329106999</v>
      </c>
    </row>
    <row r="46" spans="1:8">
      <c r="A46" s="6" t="s">
        <v>106</v>
      </c>
      <c r="B46" s="6" t="s">
        <v>3</v>
      </c>
      <c r="C46" s="6"/>
      <c r="D46" s="4" t="s">
        <v>98</v>
      </c>
      <c r="E46" s="2" t="s">
        <v>12</v>
      </c>
      <c r="F46" s="6" t="s">
        <v>16</v>
      </c>
      <c r="G46" s="6" t="s">
        <v>117</v>
      </c>
      <c r="H46" s="6">
        <v>30.186000000000003</v>
      </c>
    </row>
    <row r="47" spans="1:8">
      <c r="A47" s="6" t="s">
        <v>106</v>
      </c>
      <c r="B47" s="6" t="s">
        <v>3</v>
      </c>
      <c r="C47" s="6"/>
      <c r="D47" s="4" t="s">
        <v>15</v>
      </c>
      <c r="E47" s="2" t="s">
        <v>12</v>
      </c>
      <c r="F47" s="6" t="s">
        <v>16</v>
      </c>
      <c r="G47" s="6">
        <v>11343.256119651001</v>
      </c>
      <c r="H47" s="6">
        <v>6345.9171757656004</v>
      </c>
    </row>
    <row r="48" spans="1:8">
      <c r="A48" s="6" t="s">
        <v>106</v>
      </c>
      <c r="B48" s="6" t="s">
        <v>3</v>
      </c>
      <c r="C48" s="6"/>
      <c r="D48" s="4" t="s">
        <v>102</v>
      </c>
      <c r="E48" s="2" t="s">
        <v>12</v>
      </c>
      <c r="F48" s="6" t="s">
        <v>16</v>
      </c>
      <c r="G48" s="6" t="s">
        <v>117</v>
      </c>
      <c r="H48" s="6">
        <v>1.384151895</v>
      </c>
    </row>
    <row r="49" spans="1:8">
      <c r="A49" s="6" t="s">
        <v>106</v>
      </c>
      <c r="B49" s="6" t="s">
        <v>3</v>
      </c>
      <c r="C49" s="6"/>
      <c r="D49" s="4" t="s">
        <v>10</v>
      </c>
      <c r="E49" s="2" t="s">
        <v>13</v>
      </c>
      <c r="F49" s="6" t="s">
        <v>16</v>
      </c>
      <c r="G49" s="6" t="s">
        <v>117</v>
      </c>
      <c r="H49" s="6">
        <v>5.1281459106444798</v>
      </c>
    </row>
    <row r="50" spans="1:8">
      <c r="A50" s="6" t="s">
        <v>106</v>
      </c>
      <c r="B50" s="6" t="s">
        <v>3</v>
      </c>
      <c r="C50" s="6"/>
      <c r="D50" s="4" t="s">
        <v>14</v>
      </c>
      <c r="E50" s="2" t="s">
        <v>13</v>
      </c>
      <c r="F50" s="6" t="s">
        <v>16</v>
      </c>
      <c r="G50" s="6">
        <v>5.4207213846749767</v>
      </c>
      <c r="H50" s="6">
        <v>90.640037181419075</v>
      </c>
    </row>
    <row r="51" spans="1:8">
      <c r="A51" s="6" t="s">
        <v>106</v>
      </c>
      <c r="B51" s="6" t="s">
        <v>3</v>
      </c>
      <c r="C51" s="6"/>
      <c r="D51" s="4" t="s">
        <v>98</v>
      </c>
      <c r="E51" s="2" t="s">
        <v>13</v>
      </c>
      <c r="F51" s="6" t="s">
        <v>16</v>
      </c>
      <c r="G51" s="6" t="s">
        <v>117</v>
      </c>
      <c r="H51" s="6">
        <v>0.50004947603960792</v>
      </c>
    </row>
    <row r="52" spans="1:8">
      <c r="A52" s="6" t="s">
        <v>106</v>
      </c>
      <c r="B52" s="6" t="s">
        <v>3</v>
      </c>
      <c r="C52" s="6"/>
      <c r="D52" s="4" t="s">
        <v>15</v>
      </c>
      <c r="E52" s="2" t="s">
        <v>13</v>
      </c>
      <c r="F52" s="6" t="s">
        <v>16</v>
      </c>
      <c r="G52" s="6">
        <v>143.24286452967914</v>
      </c>
      <c r="H52" s="6">
        <v>15.404741222168299</v>
      </c>
    </row>
    <row r="53" spans="1:8">
      <c r="A53" s="6" t="s">
        <v>106</v>
      </c>
      <c r="B53" s="6" t="s">
        <v>3</v>
      </c>
      <c r="C53" s="6"/>
      <c r="D53" s="4" t="s">
        <v>102</v>
      </c>
      <c r="E53" s="2" t="s">
        <v>13</v>
      </c>
      <c r="F53" s="6" t="s">
        <v>16</v>
      </c>
      <c r="G53" s="6" t="s">
        <v>117</v>
      </c>
      <c r="H53" s="6">
        <v>6.9622664875266613E-3</v>
      </c>
    </row>
    <row r="54" spans="1:8">
      <c r="A54" s="6" t="s">
        <v>106</v>
      </c>
      <c r="B54" s="6" t="s">
        <v>4</v>
      </c>
      <c r="C54" s="6"/>
      <c r="D54" s="4" t="s">
        <v>10</v>
      </c>
      <c r="E54" s="2" t="s">
        <v>11</v>
      </c>
      <c r="F54" s="6" t="s">
        <v>16</v>
      </c>
      <c r="G54" s="6" t="s">
        <v>117</v>
      </c>
      <c r="H54" s="6">
        <v>4.9860321268874121E-4</v>
      </c>
    </row>
    <row r="55" spans="1:8">
      <c r="A55" s="6" t="s">
        <v>106</v>
      </c>
      <c r="B55" s="6" t="s">
        <v>4</v>
      </c>
      <c r="C55" s="6"/>
      <c r="D55" s="4" t="s">
        <v>99</v>
      </c>
      <c r="E55" s="2" t="s">
        <v>11</v>
      </c>
      <c r="F55" s="6" t="s">
        <v>16</v>
      </c>
      <c r="G55" s="6">
        <v>3.3217348604733223E-2</v>
      </c>
      <c r="H55" s="6">
        <v>1.3465805233095594E-2</v>
      </c>
    </row>
    <row r="56" spans="1:8">
      <c r="A56" s="6" t="s">
        <v>106</v>
      </c>
      <c r="B56" s="6" t="s">
        <v>4</v>
      </c>
      <c r="C56" s="6"/>
      <c r="D56" s="4" t="s">
        <v>99</v>
      </c>
      <c r="E56" s="2" t="s">
        <v>12</v>
      </c>
      <c r="F56" s="6" t="s">
        <v>16</v>
      </c>
      <c r="G56" s="6">
        <v>28.688489388800001</v>
      </c>
      <c r="H56" s="6">
        <v>27.855127872964001</v>
      </c>
    </row>
    <row r="57" spans="1:8">
      <c r="A57" s="6" t="s">
        <v>106</v>
      </c>
      <c r="B57" s="6" t="s">
        <v>4</v>
      </c>
      <c r="C57" s="6"/>
      <c r="D57" s="3" t="s">
        <v>10</v>
      </c>
      <c r="E57" s="1" t="s">
        <v>13</v>
      </c>
      <c r="F57" s="6" t="s">
        <v>16</v>
      </c>
      <c r="G57" s="6" t="s">
        <v>117</v>
      </c>
      <c r="H57" s="6">
        <v>1.3301278569079722E-2</v>
      </c>
    </row>
    <row r="58" spans="1:8">
      <c r="A58" s="6" t="s">
        <v>106</v>
      </c>
      <c r="B58" s="6" t="s">
        <v>4</v>
      </c>
      <c r="C58" s="6"/>
      <c r="D58" s="3" t="s">
        <v>99</v>
      </c>
      <c r="E58" s="1" t="s">
        <v>13</v>
      </c>
      <c r="F58" s="6" t="s">
        <v>16</v>
      </c>
      <c r="G58" s="6">
        <v>0.37878707753173441</v>
      </c>
      <c r="H58" s="6">
        <v>0.35920291983200942</v>
      </c>
    </row>
    <row r="59" spans="1:8">
      <c r="A59" s="6" t="s">
        <v>106</v>
      </c>
      <c r="B59" s="6" t="s">
        <v>5</v>
      </c>
      <c r="C59" s="6"/>
      <c r="D59" s="3" t="s">
        <v>10</v>
      </c>
      <c r="E59" s="1" t="s">
        <v>11</v>
      </c>
      <c r="F59" s="6" t="s">
        <v>16</v>
      </c>
      <c r="G59" s="6" t="s">
        <v>117</v>
      </c>
      <c r="H59" s="6">
        <v>7.9726518037996456E-3</v>
      </c>
    </row>
    <row r="60" spans="1:8">
      <c r="A60" s="6" t="s">
        <v>106</v>
      </c>
      <c r="B60" s="6" t="s">
        <v>5</v>
      </c>
      <c r="C60" s="6"/>
      <c r="D60" s="3" t="s">
        <v>99</v>
      </c>
      <c r="E60" s="1" t="s">
        <v>11</v>
      </c>
      <c r="F60" s="6" t="s">
        <v>16</v>
      </c>
      <c r="G60" s="6">
        <v>1.8849413545136682</v>
      </c>
      <c r="H60" s="6">
        <v>0.35116340938651081</v>
      </c>
    </row>
    <row r="61" spans="1:8">
      <c r="A61" s="6" t="s">
        <v>106</v>
      </c>
      <c r="B61" s="6" t="s">
        <v>5</v>
      </c>
      <c r="C61" s="6"/>
      <c r="D61" s="3" t="s">
        <v>99</v>
      </c>
      <c r="E61" s="1" t="s">
        <v>12</v>
      </c>
      <c r="F61" s="6" t="s">
        <v>16</v>
      </c>
      <c r="G61" s="6">
        <v>114.27296867536903</v>
      </c>
      <c r="H61" s="6">
        <v>110.01745097870882</v>
      </c>
    </row>
    <row r="62" spans="1:8">
      <c r="A62" s="6" t="s">
        <v>106</v>
      </c>
      <c r="B62" s="6" t="s">
        <v>5</v>
      </c>
      <c r="C62" s="6"/>
      <c r="D62" s="3" t="s">
        <v>10</v>
      </c>
      <c r="E62" s="1" t="s">
        <v>13</v>
      </c>
      <c r="F62" s="6" t="s">
        <v>16</v>
      </c>
      <c r="G62" s="6" t="s">
        <v>117</v>
      </c>
      <c r="H62" s="6">
        <v>3.4529124886447694E-2</v>
      </c>
    </row>
    <row r="63" spans="1:8">
      <c r="A63" s="6" t="s">
        <v>106</v>
      </c>
      <c r="B63" s="6" t="s">
        <v>5</v>
      </c>
      <c r="C63" s="6"/>
      <c r="D63" s="3" t="s">
        <v>99</v>
      </c>
      <c r="E63" s="1" t="s">
        <v>13</v>
      </c>
      <c r="F63" s="6" t="s">
        <v>16</v>
      </c>
      <c r="G63" s="6">
        <v>1.0283632551406485</v>
      </c>
      <c r="H63" s="6">
        <v>1.0569141291127628</v>
      </c>
    </row>
    <row r="64" spans="1:8">
      <c r="A64" s="6" t="s">
        <v>106</v>
      </c>
      <c r="B64" s="6" t="s">
        <v>6</v>
      </c>
      <c r="C64" s="6"/>
      <c r="D64" s="3" t="s">
        <v>98</v>
      </c>
      <c r="E64" s="1" t="s">
        <v>11</v>
      </c>
      <c r="F64" s="6" t="s">
        <v>16</v>
      </c>
      <c r="G64" s="6">
        <v>7.8400000000000011E-2</v>
      </c>
      <c r="H64" s="6">
        <v>6.7200000000000003E-3</v>
      </c>
    </row>
    <row r="65" spans="1:8">
      <c r="A65" s="6" t="s">
        <v>106</v>
      </c>
      <c r="B65" s="6" t="s">
        <v>6</v>
      </c>
      <c r="C65" s="6"/>
      <c r="D65" s="3" t="s">
        <v>98</v>
      </c>
      <c r="E65" s="1" t="s">
        <v>12</v>
      </c>
      <c r="F65" s="6" t="s">
        <v>16</v>
      </c>
      <c r="G65" s="6">
        <v>31.416</v>
      </c>
      <c r="H65" s="6">
        <v>6.7080000000000002</v>
      </c>
    </row>
    <row r="66" spans="1:8">
      <c r="A66" s="6" t="s">
        <v>106</v>
      </c>
      <c r="B66" s="6" t="s">
        <v>6</v>
      </c>
      <c r="C66" s="6"/>
      <c r="D66" s="3" t="s">
        <v>98</v>
      </c>
      <c r="E66" s="1" t="s">
        <v>13</v>
      </c>
      <c r="F66" s="6" t="s">
        <v>16</v>
      </c>
      <c r="G66" s="6">
        <v>1.4840000000000001E-2</v>
      </c>
      <c r="H66" s="6">
        <v>3.1800000000000001E-3</v>
      </c>
    </row>
    <row r="67" spans="1:8">
      <c r="A67" s="6" t="s">
        <v>106</v>
      </c>
      <c r="B67" s="6" t="s">
        <v>7</v>
      </c>
      <c r="C67" s="6"/>
      <c r="D67" s="3" t="s">
        <v>10</v>
      </c>
      <c r="E67" s="1" t="s">
        <v>11</v>
      </c>
      <c r="F67" s="6" t="s">
        <v>16</v>
      </c>
      <c r="G67" s="6">
        <v>9.4250245600000007</v>
      </c>
      <c r="H67" s="6">
        <v>5.8194480109825477</v>
      </c>
    </row>
    <row r="68" spans="1:8">
      <c r="A68" s="6" t="s">
        <v>106</v>
      </c>
      <c r="B68" s="6" t="s">
        <v>7</v>
      </c>
      <c r="C68" s="6"/>
      <c r="D68" s="3" t="s">
        <v>98</v>
      </c>
      <c r="E68" s="1" t="s">
        <v>11</v>
      </c>
      <c r="F68" s="6" t="s">
        <v>16</v>
      </c>
      <c r="G68" s="6">
        <v>0.75859978784800008</v>
      </c>
      <c r="H68" s="6">
        <v>1.4356455750000001</v>
      </c>
    </row>
    <row r="69" spans="1:8">
      <c r="A69" s="6" t="s">
        <v>106</v>
      </c>
      <c r="B69" s="6" t="s">
        <v>7</v>
      </c>
      <c r="C69" s="6"/>
      <c r="D69" s="3" t="s">
        <v>99</v>
      </c>
      <c r="E69" s="1" t="s">
        <v>11</v>
      </c>
      <c r="F69" s="6" t="s">
        <v>16</v>
      </c>
      <c r="G69" s="6">
        <v>16.995925110795476</v>
      </c>
      <c r="H69" s="6">
        <v>9.3217900714787465</v>
      </c>
    </row>
    <row r="70" spans="1:8">
      <c r="A70" s="6" t="s">
        <v>106</v>
      </c>
      <c r="B70" s="6" t="s">
        <v>7</v>
      </c>
      <c r="C70" s="6"/>
      <c r="D70" s="3" t="s">
        <v>98</v>
      </c>
      <c r="E70" s="1" t="s">
        <v>12</v>
      </c>
      <c r="F70" s="6" t="s">
        <v>16</v>
      </c>
      <c r="G70" s="6">
        <v>919.99780703292015</v>
      </c>
      <c r="H70" s="6">
        <v>1348.3131354212001</v>
      </c>
    </row>
    <row r="71" spans="1:8">
      <c r="A71" s="6" t="s">
        <v>106</v>
      </c>
      <c r="B71" s="6" t="s">
        <v>7</v>
      </c>
      <c r="C71" s="6"/>
      <c r="D71" s="3" t="s">
        <v>99</v>
      </c>
      <c r="E71" s="1" t="s">
        <v>12</v>
      </c>
      <c r="F71" s="6" t="s">
        <v>16</v>
      </c>
      <c r="G71" s="6">
        <v>3918.4687244330562</v>
      </c>
      <c r="H71" s="6">
        <v>2328.392003874676</v>
      </c>
    </row>
    <row r="72" spans="1:8">
      <c r="A72" s="6" t="s">
        <v>106</v>
      </c>
      <c r="B72" s="6" t="s">
        <v>7</v>
      </c>
      <c r="C72" s="6"/>
      <c r="D72" s="3" t="s">
        <v>10</v>
      </c>
      <c r="E72" s="1" t="s">
        <v>13</v>
      </c>
      <c r="F72" s="6" t="s">
        <v>16</v>
      </c>
      <c r="G72" s="6">
        <v>3.115075</v>
      </c>
      <c r="H72" s="6">
        <v>12.590632556512816</v>
      </c>
    </row>
    <row r="73" spans="1:8">
      <c r="A73" s="6" t="s">
        <v>106</v>
      </c>
      <c r="B73" s="6" t="s">
        <v>7</v>
      </c>
      <c r="C73" s="6"/>
      <c r="D73" s="3" t="s">
        <v>98</v>
      </c>
      <c r="E73" s="1" t="s">
        <v>13</v>
      </c>
      <c r="F73" s="6" t="s">
        <v>16</v>
      </c>
      <c r="G73" s="6">
        <v>0.43458006927580006</v>
      </c>
      <c r="H73" s="6">
        <v>0.63918243450200019</v>
      </c>
    </row>
    <row r="74" spans="1:8">
      <c r="A74" s="6" t="s">
        <v>106</v>
      </c>
      <c r="B74" s="6" t="s">
        <v>7</v>
      </c>
      <c r="C74" s="6"/>
      <c r="D74" s="3" t="s">
        <v>99</v>
      </c>
      <c r="E74" s="1" t="s">
        <v>13</v>
      </c>
      <c r="F74" s="6" t="s">
        <v>16</v>
      </c>
      <c r="G74" s="6">
        <v>8.4611986482340207</v>
      </c>
      <c r="H74" s="6">
        <v>5.0603077380433827</v>
      </c>
    </row>
    <row r="75" spans="1:8">
      <c r="A75" s="6" t="s">
        <v>106</v>
      </c>
      <c r="B75" s="6" t="s">
        <v>8</v>
      </c>
      <c r="C75" s="6"/>
      <c r="D75" s="3" t="s">
        <v>10</v>
      </c>
      <c r="E75" s="1" t="s">
        <v>11</v>
      </c>
      <c r="F75" s="6" t="s">
        <v>16</v>
      </c>
      <c r="G75" s="6">
        <v>103.81147784000001</v>
      </c>
      <c r="H75" s="6">
        <v>25.544944187210433</v>
      </c>
    </row>
    <row r="76" spans="1:8">
      <c r="A76" s="6" t="s">
        <v>106</v>
      </c>
      <c r="B76" s="6" t="s">
        <v>8</v>
      </c>
      <c r="C76" s="6"/>
      <c r="D76" s="3" t="s">
        <v>98</v>
      </c>
      <c r="E76" s="1" t="s">
        <v>11</v>
      </c>
      <c r="F76" s="6" t="s">
        <v>16</v>
      </c>
      <c r="G76" s="6">
        <v>0.78133870097080005</v>
      </c>
      <c r="H76" s="6">
        <v>1.715085932616</v>
      </c>
    </row>
    <row r="77" spans="1:8">
      <c r="A77" s="6" t="s">
        <v>106</v>
      </c>
      <c r="B77" s="6" t="s">
        <v>8</v>
      </c>
      <c r="C77" s="6"/>
      <c r="D77" s="3" t="s">
        <v>99</v>
      </c>
      <c r="E77" s="1" t="s">
        <v>11</v>
      </c>
      <c r="F77" s="6" t="s">
        <v>16</v>
      </c>
      <c r="G77" s="6">
        <v>39.007652082700133</v>
      </c>
      <c r="H77" s="6">
        <v>18.658173133523629</v>
      </c>
    </row>
    <row r="78" spans="1:8">
      <c r="A78" s="6" t="s">
        <v>106</v>
      </c>
      <c r="B78" s="6" t="s">
        <v>8</v>
      </c>
      <c r="C78" s="6"/>
      <c r="D78" s="3" t="s">
        <v>100</v>
      </c>
      <c r="E78" s="1" t="s">
        <v>11</v>
      </c>
      <c r="F78" s="6" t="s">
        <v>16</v>
      </c>
      <c r="G78" s="6">
        <v>5.2920000000000007</v>
      </c>
      <c r="H78" s="6">
        <v>0.84000000000000008</v>
      </c>
    </row>
    <row r="79" spans="1:8">
      <c r="A79" s="6" t="s">
        <v>106</v>
      </c>
      <c r="B79" s="6" t="s">
        <v>8</v>
      </c>
      <c r="C79" s="6"/>
      <c r="D79" s="3" t="s">
        <v>98</v>
      </c>
      <c r="E79" s="1" t="s">
        <v>12</v>
      </c>
      <c r="F79" s="6" t="s">
        <v>16</v>
      </c>
      <c r="G79" s="6">
        <v>1450.969501191606</v>
      </c>
      <c r="H79" s="6">
        <v>2967.5242055020899</v>
      </c>
    </row>
    <row r="80" spans="1:8">
      <c r="A80" s="6" t="s">
        <v>106</v>
      </c>
      <c r="B80" s="6" t="s">
        <v>8</v>
      </c>
      <c r="C80" s="6"/>
      <c r="D80" s="3" t="s">
        <v>99</v>
      </c>
      <c r="E80" s="1" t="s">
        <v>12</v>
      </c>
      <c r="F80" s="6" t="s">
        <v>16</v>
      </c>
      <c r="G80" s="6">
        <v>10099.070591920354</v>
      </c>
      <c r="H80" s="6">
        <v>4878.8512740407086</v>
      </c>
    </row>
    <row r="81" spans="1:8">
      <c r="A81" s="6" t="s">
        <v>106</v>
      </c>
      <c r="B81" s="6" t="s">
        <v>8</v>
      </c>
      <c r="C81" s="6"/>
      <c r="D81" s="3" t="s">
        <v>100</v>
      </c>
      <c r="E81" s="1" t="s">
        <v>12</v>
      </c>
      <c r="F81" s="6" t="s">
        <v>16</v>
      </c>
      <c r="G81" s="6">
        <v>58.401000000000003</v>
      </c>
      <c r="H81" s="6">
        <v>9.2700000000000014</v>
      </c>
    </row>
    <row r="82" spans="1:8">
      <c r="A82" s="6" t="s">
        <v>106</v>
      </c>
      <c r="B82" s="6" t="s">
        <v>8</v>
      </c>
      <c r="C82" s="6"/>
      <c r="D82" s="3" t="s">
        <v>10</v>
      </c>
      <c r="E82" s="1" t="s">
        <v>13</v>
      </c>
      <c r="F82" s="6" t="s">
        <v>16</v>
      </c>
      <c r="G82" s="6">
        <v>22.994530710000003</v>
      </c>
      <c r="H82" s="6">
        <v>21.217774054803236</v>
      </c>
    </row>
    <row r="83" spans="1:8">
      <c r="A83" s="6" t="s">
        <v>106</v>
      </c>
      <c r="B83" s="6" t="s">
        <v>8</v>
      </c>
      <c r="C83" s="6"/>
      <c r="D83" s="3" t="s">
        <v>98</v>
      </c>
      <c r="E83" s="1" t="s">
        <v>13</v>
      </c>
      <c r="F83" s="6" t="s">
        <v>16</v>
      </c>
      <c r="G83" s="6">
        <v>0.68539557542919016</v>
      </c>
      <c r="H83" s="6">
        <v>1.4067869668301503</v>
      </c>
    </row>
    <row r="84" spans="1:8">
      <c r="A84" s="6" t="s">
        <v>106</v>
      </c>
      <c r="B84" s="6" t="s">
        <v>8</v>
      </c>
      <c r="C84" s="6"/>
      <c r="D84" s="3" t="s">
        <v>99</v>
      </c>
      <c r="E84" s="1" t="s">
        <v>13</v>
      </c>
      <c r="F84" s="6" t="s">
        <v>16</v>
      </c>
      <c r="G84" s="6">
        <v>21.811151982703695</v>
      </c>
      <c r="H84" s="6">
        <v>10.559375198355061</v>
      </c>
    </row>
    <row r="85" spans="1:8">
      <c r="A85" s="6" t="s">
        <v>106</v>
      </c>
      <c r="B85" s="6" t="s">
        <v>8</v>
      </c>
      <c r="C85" s="6"/>
      <c r="D85" s="3" t="s">
        <v>100</v>
      </c>
      <c r="E85" s="1" t="s">
        <v>13</v>
      </c>
      <c r="F85" s="6" t="s">
        <v>16</v>
      </c>
      <c r="G85" s="6">
        <v>0.25042500000000001</v>
      </c>
      <c r="H85" s="6">
        <v>3.9750000000000001E-2</v>
      </c>
    </row>
    <row r="86" spans="1:8">
      <c r="A86" s="6" t="s">
        <v>106</v>
      </c>
      <c r="B86" s="6" t="s">
        <v>9</v>
      </c>
      <c r="C86" s="6"/>
      <c r="D86" s="3" t="s">
        <v>10</v>
      </c>
      <c r="E86" s="1" t="s">
        <v>11</v>
      </c>
      <c r="F86" s="6" t="s">
        <v>16</v>
      </c>
      <c r="G86" s="6">
        <v>1.239073976</v>
      </c>
      <c r="H86" s="6">
        <v>1.4075646186814748</v>
      </c>
    </row>
    <row r="87" spans="1:8">
      <c r="A87" s="6" t="s">
        <v>106</v>
      </c>
      <c r="B87" s="6" t="s">
        <v>9</v>
      </c>
      <c r="C87" s="6"/>
      <c r="D87" s="3" t="s">
        <v>98</v>
      </c>
      <c r="E87" s="1" t="s">
        <v>11</v>
      </c>
      <c r="F87" s="6" t="s">
        <v>16</v>
      </c>
      <c r="G87" s="6">
        <v>3.4968759000000009E-2</v>
      </c>
      <c r="H87" s="6">
        <v>6.4463649759600006E-2</v>
      </c>
    </row>
    <row r="88" spans="1:8">
      <c r="A88" s="6" t="s">
        <v>106</v>
      </c>
      <c r="B88" s="6" t="s">
        <v>9</v>
      </c>
      <c r="C88" s="6"/>
      <c r="D88" s="3" t="s">
        <v>99</v>
      </c>
      <c r="E88" s="1" t="s">
        <v>11</v>
      </c>
      <c r="F88" s="6" t="s">
        <v>16</v>
      </c>
      <c r="G88" s="6">
        <v>7.5223647066529677</v>
      </c>
      <c r="H88" s="6">
        <v>1.2711314779535026</v>
      </c>
    </row>
    <row r="89" spans="1:8">
      <c r="A89" s="6" t="s">
        <v>106</v>
      </c>
      <c r="B89" s="6" t="s">
        <v>9</v>
      </c>
      <c r="C89" s="6"/>
      <c r="D89" s="3" t="s">
        <v>98</v>
      </c>
      <c r="E89" s="1" t="s">
        <v>12</v>
      </c>
      <c r="F89" s="6" t="s">
        <v>16</v>
      </c>
      <c r="G89" s="6">
        <v>70.062406425000006</v>
      </c>
      <c r="H89" s="6">
        <v>128.69707219863002</v>
      </c>
    </row>
    <row r="90" spans="1:8">
      <c r="A90" s="6" t="s">
        <v>106</v>
      </c>
      <c r="B90" s="6" t="s">
        <v>9</v>
      </c>
      <c r="C90" s="6"/>
      <c r="D90" s="3" t="s">
        <v>99</v>
      </c>
      <c r="E90" s="1" t="s">
        <v>12</v>
      </c>
      <c r="F90" s="6" t="s">
        <v>16</v>
      </c>
      <c r="G90" s="6">
        <v>742.30360592104012</v>
      </c>
      <c r="H90" s="6">
        <v>452.86200407590201</v>
      </c>
    </row>
    <row r="91" spans="1:8">
      <c r="A91" s="6" t="s">
        <v>106</v>
      </c>
      <c r="B91" s="6" t="s">
        <v>9</v>
      </c>
      <c r="C91" s="6"/>
      <c r="D91" s="3" t="s">
        <v>10</v>
      </c>
      <c r="E91" s="1" t="s">
        <v>13</v>
      </c>
      <c r="F91" s="6" t="s">
        <v>16</v>
      </c>
      <c r="G91" s="6">
        <v>0.45515249899999999</v>
      </c>
      <c r="H91" s="6">
        <v>1.4331585054082552</v>
      </c>
    </row>
    <row r="92" spans="1:8">
      <c r="A92" s="6" t="s">
        <v>106</v>
      </c>
      <c r="B92" s="6" t="s">
        <v>9</v>
      </c>
      <c r="C92" s="6"/>
      <c r="D92" s="3" t="s">
        <v>98</v>
      </c>
      <c r="E92" s="1" t="s">
        <v>13</v>
      </c>
      <c r="F92" s="6" t="s">
        <v>16</v>
      </c>
      <c r="G92" s="6">
        <v>3.3095432625000004E-2</v>
      </c>
      <c r="H92" s="6">
        <v>6.1010239951050017E-2</v>
      </c>
    </row>
    <row r="93" spans="1:8">
      <c r="A93" s="6" t="s">
        <v>106</v>
      </c>
      <c r="B93" s="6" t="s">
        <v>9</v>
      </c>
      <c r="C93" s="6"/>
      <c r="D93" s="3" t="s">
        <v>99</v>
      </c>
      <c r="E93" s="1" t="s">
        <v>13</v>
      </c>
      <c r="F93" s="6" t="s">
        <v>16</v>
      </c>
      <c r="G93" s="6">
        <v>4.2861660336904279</v>
      </c>
      <c r="H93" s="6">
        <v>4.0316741758461232</v>
      </c>
    </row>
    <row r="94" spans="1:8">
      <c r="A94" s="6" t="s">
        <v>106</v>
      </c>
      <c r="B94" s="6" t="s">
        <v>17</v>
      </c>
      <c r="C94" s="6"/>
      <c r="D94" s="3" t="s">
        <v>10</v>
      </c>
      <c r="E94" s="1" t="s">
        <v>11</v>
      </c>
      <c r="F94" s="6" t="s">
        <v>16</v>
      </c>
      <c r="G94" s="6" t="s">
        <v>117</v>
      </c>
      <c r="H94" s="6">
        <v>3.0278884595645497E-4</v>
      </c>
    </row>
    <row r="95" spans="1:8">
      <c r="A95" s="6" t="s">
        <v>106</v>
      </c>
      <c r="B95" s="6" t="s">
        <v>17</v>
      </c>
      <c r="C95" s="6"/>
      <c r="D95" s="3" t="s">
        <v>99</v>
      </c>
      <c r="E95" s="1" t="s">
        <v>11</v>
      </c>
      <c r="F95" s="6" t="s">
        <v>16</v>
      </c>
      <c r="G95" s="6">
        <v>0.1332448286201213</v>
      </c>
      <c r="H95" s="6">
        <v>3.9170462667198126E-2</v>
      </c>
    </row>
    <row r="96" spans="1:8">
      <c r="A96" s="6" t="s">
        <v>106</v>
      </c>
      <c r="B96" s="6" t="s">
        <v>17</v>
      </c>
      <c r="C96" s="6"/>
      <c r="D96" s="3" t="s">
        <v>99</v>
      </c>
      <c r="E96" s="1" t="s">
        <v>12</v>
      </c>
      <c r="F96" s="6" t="s">
        <v>16</v>
      </c>
      <c r="G96" s="6">
        <v>217.6538064183313</v>
      </c>
      <c r="H96" s="6">
        <v>113.68995808580901</v>
      </c>
    </row>
    <row r="97" spans="1:8">
      <c r="A97" s="6" t="s">
        <v>106</v>
      </c>
      <c r="B97" s="6" t="s">
        <v>17</v>
      </c>
      <c r="C97" s="6"/>
      <c r="D97" s="3" t="s">
        <v>10</v>
      </c>
      <c r="E97" s="1" t="s">
        <v>13</v>
      </c>
      <c r="F97" s="6" t="s">
        <v>16</v>
      </c>
      <c r="G97" s="6" t="s">
        <v>117</v>
      </c>
      <c r="H97" s="6">
        <v>7.3527663735632031E-3</v>
      </c>
    </row>
    <row r="98" spans="1:8">
      <c r="A98" s="6" t="s">
        <v>106</v>
      </c>
      <c r="B98" s="6" t="s">
        <v>17</v>
      </c>
      <c r="C98" s="6"/>
      <c r="D98" s="3" t="s">
        <v>99</v>
      </c>
      <c r="E98" s="1" t="s">
        <v>13</v>
      </c>
      <c r="F98" s="6" t="s">
        <v>16</v>
      </c>
      <c r="G98" s="6">
        <v>1.6363662269976522</v>
      </c>
      <c r="H98" s="6">
        <v>0.89084098087090702</v>
      </c>
    </row>
    <row r="99" spans="1:8">
      <c r="A99" s="6" t="s">
        <v>106</v>
      </c>
      <c r="B99" s="6" t="s">
        <v>83</v>
      </c>
      <c r="C99" s="6"/>
      <c r="D99" s="9" t="s">
        <v>75</v>
      </c>
      <c r="E99" s="1" t="s">
        <v>11</v>
      </c>
      <c r="F99" s="6" t="s">
        <v>16</v>
      </c>
      <c r="G99" s="6">
        <v>3.9400760000000004</v>
      </c>
      <c r="H99" s="6">
        <v>0.45847200000000005</v>
      </c>
    </row>
    <row r="100" spans="1:8">
      <c r="A100" s="6" t="s">
        <v>106</v>
      </c>
      <c r="B100" s="6" t="s">
        <v>84</v>
      </c>
      <c r="C100" s="6"/>
      <c r="D100" s="9" t="s">
        <v>75</v>
      </c>
      <c r="E100" s="1" t="s">
        <v>11</v>
      </c>
      <c r="F100" s="6" t="s">
        <v>16</v>
      </c>
      <c r="G100" s="6">
        <v>371.75885112799995</v>
      </c>
      <c r="H100" s="6">
        <v>209.118374528</v>
      </c>
    </row>
    <row r="101" spans="1:8">
      <c r="A101" s="6" t="s">
        <v>106</v>
      </c>
      <c r="B101" s="6" t="s">
        <v>84</v>
      </c>
      <c r="C101" s="6"/>
      <c r="D101" s="9" t="s">
        <v>75</v>
      </c>
      <c r="E101" s="1" t="s">
        <v>12</v>
      </c>
      <c r="F101" s="6" t="s">
        <v>16</v>
      </c>
      <c r="G101" s="6">
        <v>0.38356063800000001</v>
      </c>
      <c r="H101" s="6">
        <v>0.17725902000000002</v>
      </c>
    </row>
    <row r="102" spans="1:8">
      <c r="A102" s="6" t="s">
        <v>106</v>
      </c>
      <c r="B102" s="6" t="s">
        <v>92</v>
      </c>
      <c r="C102" s="6"/>
      <c r="D102" s="9" t="s">
        <v>75</v>
      </c>
      <c r="E102" s="1" t="s">
        <v>11</v>
      </c>
      <c r="F102" s="6" t="s">
        <v>16</v>
      </c>
      <c r="G102" s="6">
        <v>0.37656724000000003</v>
      </c>
      <c r="H102" s="6">
        <v>2.6196800000000005E-3</v>
      </c>
    </row>
    <row r="103" spans="1:8">
      <c r="A103" s="6" t="s">
        <v>106</v>
      </c>
      <c r="B103" s="6" t="s">
        <v>92</v>
      </c>
      <c r="C103" s="6"/>
      <c r="D103" s="9" t="s">
        <v>75</v>
      </c>
      <c r="E103" s="1" t="s">
        <v>12</v>
      </c>
      <c r="F103" s="6" t="s">
        <v>16</v>
      </c>
      <c r="G103" s="6">
        <v>25.95839754</v>
      </c>
      <c r="H103" s="6">
        <v>19.396581000000001</v>
      </c>
    </row>
    <row r="104" spans="1:8">
      <c r="A104" s="6" t="s">
        <v>106</v>
      </c>
      <c r="B104" s="6" t="s">
        <v>92</v>
      </c>
      <c r="C104" s="6"/>
      <c r="D104" s="9" t="s">
        <v>75</v>
      </c>
      <c r="E104" s="1" t="s">
        <v>13</v>
      </c>
      <c r="F104" s="6" t="s">
        <v>16</v>
      </c>
      <c r="G104" s="6">
        <v>2.4879579738400003E-2</v>
      </c>
      <c r="H104" s="6">
        <v>1.859505E-4</v>
      </c>
    </row>
    <row r="105" spans="1:8">
      <c r="A105" s="6" t="s">
        <v>106</v>
      </c>
      <c r="B105" s="6" t="s">
        <v>18</v>
      </c>
      <c r="C105" s="6"/>
      <c r="D105" s="3" t="s">
        <v>72</v>
      </c>
      <c r="E105" s="1" t="s">
        <v>12</v>
      </c>
      <c r="F105" s="6" t="s">
        <v>16</v>
      </c>
      <c r="G105" s="6">
        <v>2580.7894403839</v>
      </c>
      <c r="H105" s="6">
        <v>1732.243949767</v>
      </c>
    </row>
    <row r="106" spans="1:8">
      <c r="A106" s="6" t="s">
        <v>106</v>
      </c>
      <c r="B106" s="6" t="s">
        <v>19</v>
      </c>
      <c r="C106" s="6"/>
      <c r="D106" s="3" t="s">
        <v>72</v>
      </c>
      <c r="E106" s="1" t="s">
        <v>12</v>
      </c>
      <c r="F106" s="6" t="s">
        <v>16</v>
      </c>
      <c r="G106" s="6">
        <v>53.351683200000004</v>
      </c>
      <c r="H106" s="6">
        <v>52.691114736000003</v>
      </c>
    </row>
    <row r="107" spans="1:8">
      <c r="A107" s="6" t="s">
        <v>106</v>
      </c>
      <c r="B107" s="6" t="s">
        <v>20</v>
      </c>
      <c r="C107" s="6"/>
      <c r="D107" s="3" t="s">
        <v>72</v>
      </c>
      <c r="E107" s="1" t="s">
        <v>12</v>
      </c>
      <c r="F107" s="6" t="s">
        <v>16</v>
      </c>
      <c r="G107" s="6">
        <v>15.251405</v>
      </c>
      <c r="H107" s="6">
        <v>4.8785992949999999</v>
      </c>
    </row>
    <row r="108" spans="1:8">
      <c r="A108" s="6" t="s">
        <v>106</v>
      </c>
      <c r="B108" s="6" t="s">
        <v>21</v>
      </c>
      <c r="C108" s="6"/>
      <c r="D108" s="3" t="s">
        <v>72</v>
      </c>
      <c r="E108" s="1" t="s">
        <v>12</v>
      </c>
      <c r="F108" s="6" t="s">
        <v>16</v>
      </c>
      <c r="G108" s="6">
        <v>160.15861392000002</v>
      </c>
      <c r="H108" s="6">
        <v>67.731976579396004</v>
      </c>
    </row>
    <row r="109" spans="1:8">
      <c r="A109" s="6" t="s">
        <v>106</v>
      </c>
      <c r="B109" s="6" t="s">
        <v>22</v>
      </c>
      <c r="C109" s="6"/>
      <c r="D109" s="3" t="s">
        <v>72</v>
      </c>
      <c r="E109" s="1" t="s">
        <v>11</v>
      </c>
      <c r="F109" s="6" t="s">
        <v>16</v>
      </c>
      <c r="G109" s="6">
        <v>3.8808000000000002</v>
      </c>
      <c r="H109" s="6">
        <v>6.8465796000000001</v>
      </c>
    </row>
    <row r="110" spans="1:8">
      <c r="A110" s="6" t="s">
        <v>106</v>
      </c>
      <c r="B110" s="6" t="s">
        <v>22</v>
      </c>
      <c r="C110" s="6"/>
      <c r="D110" s="3" t="s">
        <v>72</v>
      </c>
      <c r="E110" s="1" t="s">
        <v>12</v>
      </c>
      <c r="F110" s="6" t="s">
        <v>16</v>
      </c>
      <c r="G110" s="6">
        <v>15.360000000000001</v>
      </c>
      <c r="H110" s="6">
        <v>17.376117000000001</v>
      </c>
    </row>
    <row r="111" spans="1:8">
      <c r="A111" s="6" t="s">
        <v>106</v>
      </c>
      <c r="B111" s="6" t="s">
        <v>23</v>
      </c>
      <c r="C111" s="6"/>
      <c r="D111" s="3" t="s">
        <v>72</v>
      </c>
      <c r="E111" s="1" t="s">
        <v>12</v>
      </c>
      <c r="F111" s="6" t="s">
        <v>16</v>
      </c>
      <c r="G111" s="6">
        <v>94.082300000000004</v>
      </c>
      <c r="H111" s="6">
        <v>116.37060500000001</v>
      </c>
    </row>
    <row r="112" spans="1:8">
      <c r="A112" s="6" t="s">
        <v>106</v>
      </c>
      <c r="B112" s="6" t="s">
        <v>24</v>
      </c>
      <c r="C112" s="6"/>
      <c r="D112" s="3" t="s">
        <v>72</v>
      </c>
      <c r="E112" s="1" t="s">
        <v>12</v>
      </c>
      <c r="F112" s="6" t="s">
        <v>16</v>
      </c>
      <c r="G112" s="6">
        <v>17.3419296</v>
      </c>
      <c r="H112" s="6">
        <v>17.327783796599999</v>
      </c>
    </row>
    <row r="113" spans="1:9">
      <c r="A113" s="6" t="s">
        <v>106</v>
      </c>
      <c r="B113" s="6" t="s">
        <v>24</v>
      </c>
      <c r="C113" s="6"/>
      <c r="D113" s="3" t="s">
        <v>72</v>
      </c>
      <c r="E113" s="1" t="s">
        <v>11</v>
      </c>
      <c r="F113" s="6" t="s">
        <v>16</v>
      </c>
      <c r="G113" s="6">
        <v>0.1008</v>
      </c>
      <c r="H113" s="6" t="s">
        <v>117</v>
      </c>
    </row>
    <row r="114" spans="1:9">
      <c r="A114" s="6" t="s">
        <v>106</v>
      </c>
      <c r="B114" s="6" t="s">
        <v>24</v>
      </c>
      <c r="C114" s="6"/>
      <c r="D114" s="3" t="s">
        <v>72</v>
      </c>
      <c r="E114" s="1" t="s">
        <v>13</v>
      </c>
      <c r="F114" s="6" t="s">
        <v>16</v>
      </c>
      <c r="G114" s="6">
        <v>384.49645000000004</v>
      </c>
      <c r="H114" s="6">
        <v>389.00374731149998</v>
      </c>
    </row>
    <row r="115" spans="1:9">
      <c r="A115" s="6" t="s">
        <v>106</v>
      </c>
      <c r="B115" s="6" t="s">
        <v>25</v>
      </c>
      <c r="C115" s="6"/>
      <c r="D115" s="3" t="s">
        <v>72</v>
      </c>
      <c r="E115" s="1" t="s">
        <v>13</v>
      </c>
      <c r="F115" s="6" t="s">
        <v>16</v>
      </c>
      <c r="G115" s="6">
        <v>58.241700000000002</v>
      </c>
      <c r="H115" s="6" t="s">
        <v>117</v>
      </c>
    </row>
    <row r="116" spans="1:9">
      <c r="A116" s="6" t="s">
        <v>106</v>
      </c>
      <c r="B116" s="6" t="s">
        <v>26</v>
      </c>
      <c r="C116" s="6"/>
      <c r="D116" s="3" t="s">
        <v>72</v>
      </c>
      <c r="E116" s="1" t="s">
        <v>12</v>
      </c>
      <c r="F116" s="6" t="s">
        <v>16</v>
      </c>
      <c r="G116" s="6">
        <v>11.9094107</v>
      </c>
      <c r="H116" s="6">
        <v>7.2940974700000005</v>
      </c>
      <c r="I116" s="17"/>
    </row>
    <row r="117" spans="1:9">
      <c r="A117" s="6" t="s">
        <v>106</v>
      </c>
      <c r="B117" s="6" t="s">
        <v>27</v>
      </c>
      <c r="C117" s="6"/>
      <c r="D117" s="3" t="s">
        <v>72</v>
      </c>
      <c r="E117" s="1" t="s">
        <v>12</v>
      </c>
      <c r="F117" s="6" t="s">
        <v>16</v>
      </c>
      <c r="G117" s="6">
        <v>139.25920000000002</v>
      </c>
      <c r="H117" s="6" t="s">
        <v>117</v>
      </c>
      <c r="I117" s="17"/>
    </row>
    <row r="118" spans="1:9" s="17" customFormat="1">
      <c r="A118" s="6" t="s">
        <v>106</v>
      </c>
      <c r="B118" s="13" t="s">
        <v>27</v>
      </c>
      <c r="C118" s="13"/>
      <c r="D118" s="4" t="s">
        <v>72</v>
      </c>
      <c r="E118" s="33" t="s">
        <v>77</v>
      </c>
      <c r="F118" s="13" t="s">
        <v>16</v>
      </c>
      <c r="G118" s="13">
        <v>104.71334433000001</v>
      </c>
      <c r="H118" s="6" t="s">
        <v>117</v>
      </c>
    </row>
    <row r="119" spans="1:9">
      <c r="A119" s="6" t="s">
        <v>106</v>
      </c>
      <c r="B119" s="6" t="s">
        <v>28</v>
      </c>
      <c r="C119" s="6"/>
      <c r="D119" s="3" t="s">
        <v>72</v>
      </c>
      <c r="E119" s="1" t="s">
        <v>73</v>
      </c>
      <c r="F119" s="6" t="s">
        <v>16</v>
      </c>
      <c r="G119" s="6" t="s">
        <v>117</v>
      </c>
      <c r="H119" s="6" t="s">
        <v>117</v>
      </c>
      <c r="I119" s="17" t="s">
        <v>118</v>
      </c>
    </row>
    <row r="120" spans="1:9">
      <c r="A120" s="6" t="s">
        <v>106</v>
      </c>
      <c r="B120" s="6" t="s">
        <v>29</v>
      </c>
      <c r="C120" s="6"/>
      <c r="D120" s="3" t="s">
        <v>72</v>
      </c>
      <c r="E120" s="1" t="s">
        <v>12</v>
      </c>
      <c r="F120" s="6" t="s">
        <v>16</v>
      </c>
      <c r="G120" s="6" t="s">
        <v>117</v>
      </c>
      <c r="H120" s="6">
        <v>1.4763000000000002</v>
      </c>
      <c r="I120" s="17" t="s">
        <v>105</v>
      </c>
    </row>
    <row r="121" spans="1:9" s="17" customFormat="1">
      <c r="A121" s="6" t="s">
        <v>106</v>
      </c>
      <c r="B121" s="13" t="s">
        <v>94</v>
      </c>
      <c r="C121" s="13"/>
      <c r="D121" s="4" t="s">
        <v>72</v>
      </c>
      <c r="E121" s="2" t="s">
        <v>12</v>
      </c>
      <c r="F121" s="13" t="s">
        <v>16</v>
      </c>
      <c r="G121" s="6">
        <v>48.241228073364546</v>
      </c>
      <c r="H121" s="6">
        <v>25.340336974642987</v>
      </c>
    </row>
    <row r="122" spans="1:9" s="17" customFormat="1">
      <c r="A122" s="6" t="s">
        <v>106</v>
      </c>
      <c r="B122" s="13" t="s">
        <v>95</v>
      </c>
      <c r="C122" s="13"/>
      <c r="D122" s="4"/>
      <c r="E122" s="2" t="s">
        <v>12</v>
      </c>
      <c r="F122" s="13" t="s">
        <v>16</v>
      </c>
      <c r="G122" s="6">
        <v>6.3222808000000006</v>
      </c>
      <c r="H122" s="6">
        <v>2.2947232</v>
      </c>
    </row>
    <row r="123" spans="1:9">
      <c r="A123" s="6" t="s">
        <v>106</v>
      </c>
      <c r="B123" s="23" t="s">
        <v>96</v>
      </c>
      <c r="C123" s="23"/>
      <c r="D123" s="24"/>
      <c r="E123" s="10" t="s">
        <v>12</v>
      </c>
      <c r="F123" s="23" t="s">
        <v>16</v>
      </c>
      <c r="G123" s="23">
        <v>3.6488769270172412</v>
      </c>
      <c r="H123" s="23">
        <v>25.074467971854695</v>
      </c>
    </row>
    <row r="124" spans="1:9" s="17" customFormat="1">
      <c r="A124" s="6" t="s">
        <v>106</v>
      </c>
      <c r="B124" s="13" t="s">
        <v>31</v>
      </c>
      <c r="C124" s="13"/>
      <c r="D124" s="4" t="s">
        <v>72</v>
      </c>
      <c r="E124" s="2" t="s">
        <v>78</v>
      </c>
      <c r="F124" s="13" t="s">
        <v>16</v>
      </c>
      <c r="G124" s="6" t="s">
        <v>117</v>
      </c>
      <c r="H124" s="6" t="s">
        <v>117</v>
      </c>
    </row>
    <row r="125" spans="1:9" s="17" customFormat="1">
      <c r="A125" s="6" t="s">
        <v>106</v>
      </c>
      <c r="B125" s="13" t="s">
        <v>31</v>
      </c>
      <c r="C125" s="13"/>
      <c r="D125" s="4" t="s">
        <v>72</v>
      </c>
      <c r="E125" s="2" t="s">
        <v>77</v>
      </c>
      <c r="F125" s="13" t="s">
        <v>16</v>
      </c>
      <c r="G125" s="6" t="s">
        <v>117</v>
      </c>
      <c r="H125" s="13">
        <v>4.3334220928050007</v>
      </c>
    </row>
    <row r="126" spans="1:9" s="17" customFormat="1">
      <c r="A126" s="6" t="s">
        <v>106</v>
      </c>
      <c r="B126" s="13" t="s">
        <v>31</v>
      </c>
      <c r="C126" s="13"/>
      <c r="D126" s="4" t="s">
        <v>72</v>
      </c>
      <c r="E126" s="2" t="s">
        <v>73</v>
      </c>
      <c r="F126" s="13" t="s">
        <v>16</v>
      </c>
      <c r="G126" s="6" t="s">
        <v>117</v>
      </c>
      <c r="H126" s="13">
        <v>3.5851074187500007</v>
      </c>
    </row>
    <row r="127" spans="1:9" s="17" customFormat="1">
      <c r="A127" s="6" t="s">
        <v>106</v>
      </c>
      <c r="B127" s="13" t="s">
        <v>32</v>
      </c>
      <c r="C127" s="13"/>
      <c r="D127" s="4" t="s">
        <v>72</v>
      </c>
      <c r="E127" s="2" t="s">
        <v>74</v>
      </c>
      <c r="F127" s="13" t="s">
        <v>16</v>
      </c>
      <c r="G127" s="6" t="s">
        <v>117</v>
      </c>
      <c r="H127" s="13">
        <v>0.37000577250000011</v>
      </c>
    </row>
    <row r="128" spans="1:9" s="17" customFormat="1">
      <c r="A128" s="6" t="s">
        <v>106</v>
      </c>
      <c r="B128" s="13" t="s">
        <v>33</v>
      </c>
      <c r="C128" s="13"/>
      <c r="D128" s="4" t="s">
        <v>72</v>
      </c>
      <c r="E128" s="2" t="s">
        <v>77</v>
      </c>
      <c r="F128" s="13" t="s">
        <v>16</v>
      </c>
      <c r="G128" s="6" t="s">
        <v>117</v>
      </c>
      <c r="H128" s="13">
        <v>4.3381406250000004E-3</v>
      </c>
    </row>
    <row r="129" spans="1:9" s="17" customFormat="1">
      <c r="A129" s="6" t="s">
        <v>106</v>
      </c>
      <c r="B129" s="13" t="s">
        <v>34</v>
      </c>
      <c r="C129" s="13"/>
      <c r="D129" s="4" t="s">
        <v>72</v>
      </c>
      <c r="E129" s="2" t="s">
        <v>78</v>
      </c>
      <c r="F129" s="13" t="s">
        <v>16</v>
      </c>
      <c r="G129" s="13">
        <v>2.2528355200000006E-2</v>
      </c>
      <c r="H129" s="13">
        <v>1195.1574573998148</v>
      </c>
    </row>
    <row r="130" spans="1:9" s="17" customFormat="1">
      <c r="A130" s="6" t="s">
        <v>106</v>
      </c>
      <c r="B130" s="13" t="s">
        <v>34</v>
      </c>
      <c r="C130" s="13"/>
      <c r="D130" s="4" t="s">
        <v>72</v>
      </c>
      <c r="E130" s="2" t="s">
        <v>77</v>
      </c>
      <c r="F130" s="13" t="s">
        <v>16</v>
      </c>
      <c r="G130" s="13">
        <v>5.4076458384000006E-2</v>
      </c>
      <c r="H130" s="13">
        <v>1.4764066851740147</v>
      </c>
    </row>
    <row r="131" spans="1:9" s="17" customFormat="1">
      <c r="A131" s="6" t="s">
        <v>106</v>
      </c>
      <c r="B131" s="13" t="s">
        <v>35</v>
      </c>
      <c r="C131" s="13"/>
      <c r="D131" s="4" t="s">
        <v>72</v>
      </c>
      <c r="E131" s="2" t="s">
        <v>78</v>
      </c>
      <c r="F131" s="13" t="s">
        <v>16</v>
      </c>
      <c r="G131" s="6" t="s">
        <v>117</v>
      </c>
      <c r="H131" s="13">
        <v>22.623010598413199</v>
      </c>
    </row>
    <row r="132" spans="1:9" s="17" customFormat="1">
      <c r="A132" s="6" t="s">
        <v>106</v>
      </c>
      <c r="B132" s="13" t="s">
        <v>36</v>
      </c>
      <c r="C132" s="13"/>
      <c r="D132" s="4" t="s">
        <v>72</v>
      </c>
      <c r="E132" s="2" t="s">
        <v>78</v>
      </c>
      <c r="F132" s="13" t="s">
        <v>16</v>
      </c>
      <c r="G132" s="6" t="s">
        <v>117</v>
      </c>
      <c r="H132" s="13">
        <v>5.9283081000000006</v>
      </c>
    </row>
    <row r="133" spans="1:9" s="17" customFormat="1">
      <c r="A133" s="6" t="s">
        <v>106</v>
      </c>
      <c r="B133" s="13" t="s">
        <v>37</v>
      </c>
      <c r="C133" s="13"/>
      <c r="D133" s="4" t="s">
        <v>72</v>
      </c>
      <c r="E133" s="2" t="s">
        <v>78</v>
      </c>
      <c r="F133" s="13" t="s">
        <v>16</v>
      </c>
      <c r="G133" s="6" t="s">
        <v>117</v>
      </c>
      <c r="H133" s="13">
        <v>2.3820341826108631E-2</v>
      </c>
    </row>
    <row r="134" spans="1:9">
      <c r="A134" s="6" t="s">
        <v>106</v>
      </c>
      <c r="B134" s="23" t="s">
        <v>86</v>
      </c>
      <c r="C134" s="23"/>
      <c r="D134" s="24" t="s">
        <v>72</v>
      </c>
      <c r="E134" s="10" t="s">
        <v>12</v>
      </c>
      <c r="F134" s="23" t="s">
        <v>16</v>
      </c>
      <c r="G134" s="23">
        <v>6.0685655910155702</v>
      </c>
      <c r="H134" s="23">
        <v>31.760630328146391</v>
      </c>
      <c r="I134" s="17"/>
    </row>
    <row r="135" spans="1:9" s="17" customFormat="1">
      <c r="A135" s="6" t="s">
        <v>106</v>
      </c>
      <c r="B135" s="13" t="s">
        <v>38</v>
      </c>
      <c r="C135" s="13"/>
      <c r="D135" s="4" t="s">
        <v>72</v>
      </c>
      <c r="E135" s="2" t="s">
        <v>78</v>
      </c>
      <c r="F135" s="13" t="s">
        <v>16</v>
      </c>
      <c r="G135" s="6" t="s">
        <v>117</v>
      </c>
      <c r="H135" s="13">
        <v>17.748367000000002</v>
      </c>
    </row>
    <row r="136" spans="1:9" s="17" customFormat="1">
      <c r="A136" s="6" t="s">
        <v>106</v>
      </c>
      <c r="B136" s="13" t="s">
        <v>38</v>
      </c>
      <c r="C136" s="13"/>
      <c r="D136" s="4" t="s">
        <v>72</v>
      </c>
      <c r="E136" s="2" t="s">
        <v>77</v>
      </c>
      <c r="F136" s="13" t="s">
        <v>16</v>
      </c>
      <c r="G136" s="6" t="s">
        <v>117</v>
      </c>
      <c r="H136" s="13">
        <v>22.551793796637835</v>
      </c>
    </row>
    <row r="137" spans="1:9">
      <c r="A137" s="6" t="s">
        <v>106</v>
      </c>
      <c r="B137" s="6" t="s">
        <v>38</v>
      </c>
      <c r="C137" s="6"/>
      <c r="D137" s="3" t="s">
        <v>72</v>
      </c>
      <c r="E137" s="1" t="s">
        <v>73</v>
      </c>
      <c r="F137" s="6" t="s">
        <v>16</v>
      </c>
      <c r="G137" s="6">
        <v>141.21258018658199</v>
      </c>
      <c r="H137" s="6">
        <v>125.44244192068332</v>
      </c>
      <c r="I137" s="17"/>
    </row>
    <row r="138" spans="1:9">
      <c r="A138" s="6" t="s">
        <v>106</v>
      </c>
      <c r="B138" s="6" t="s">
        <v>85</v>
      </c>
      <c r="C138" s="6"/>
      <c r="D138" s="3" t="s">
        <v>72</v>
      </c>
      <c r="E138" s="1" t="s">
        <v>13</v>
      </c>
      <c r="F138" s="6" t="s">
        <v>16</v>
      </c>
      <c r="G138" s="6">
        <v>92.49136</v>
      </c>
      <c r="H138" s="6">
        <v>28.11763361111111</v>
      </c>
      <c r="I138" s="17"/>
    </row>
    <row r="139" spans="1:9">
      <c r="A139" s="6" t="s">
        <v>106</v>
      </c>
      <c r="B139" s="6" t="s">
        <v>86</v>
      </c>
      <c r="C139" s="6"/>
      <c r="D139" s="3"/>
      <c r="E139" s="5" t="s">
        <v>13</v>
      </c>
      <c r="F139" s="6" t="s">
        <v>16</v>
      </c>
      <c r="G139" s="31">
        <v>5.3084137500000006</v>
      </c>
      <c r="H139" s="31">
        <v>8.0451837154800003</v>
      </c>
      <c r="I139" s="17"/>
    </row>
    <row r="140" spans="1:9">
      <c r="A140" s="6" t="s">
        <v>106</v>
      </c>
      <c r="B140" s="13" t="s">
        <v>97</v>
      </c>
      <c r="C140" s="13"/>
      <c r="D140" s="3" t="s">
        <v>72</v>
      </c>
      <c r="E140" s="1" t="s">
        <v>12</v>
      </c>
      <c r="F140" s="6" t="s">
        <v>16</v>
      </c>
      <c r="G140" s="6">
        <v>1.04</v>
      </c>
      <c r="H140" s="6">
        <v>0.24280000000000002</v>
      </c>
      <c r="I140" s="17"/>
    </row>
    <row r="141" spans="1:9">
      <c r="A141" s="6" t="s">
        <v>106</v>
      </c>
      <c r="B141" s="6" t="s">
        <v>40</v>
      </c>
      <c r="C141" s="6"/>
      <c r="D141" s="3" t="s">
        <v>72</v>
      </c>
      <c r="E141" s="1" t="s">
        <v>11</v>
      </c>
      <c r="F141" s="6" t="s">
        <v>16</v>
      </c>
      <c r="G141" s="6">
        <v>3930.2842949081669</v>
      </c>
      <c r="H141" s="6">
        <v>3630.5744182375452</v>
      </c>
      <c r="I141" s="17"/>
    </row>
    <row r="142" spans="1:9">
      <c r="A142" s="6" t="s">
        <v>106</v>
      </c>
      <c r="B142" s="18" t="s">
        <v>76</v>
      </c>
      <c r="C142" s="18"/>
      <c r="D142" s="3" t="s">
        <v>72</v>
      </c>
      <c r="E142" s="1" t="s">
        <v>11</v>
      </c>
      <c r="F142" s="6" t="s">
        <v>16</v>
      </c>
      <c r="G142" s="6">
        <v>776.11565904315751</v>
      </c>
      <c r="H142" s="6">
        <v>617.9633874172398</v>
      </c>
    </row>
    <row r="143" spans="1:9" s="17" customFormat="1">
      <c r="A143" s="13" t="s">
        <v>106</v>
      </c>
      <c r="B143" s="18" t="s">
        <v>76</v>
      </c>
      <c r="C143" s="18"/>
      <c r="D143" s="20" t="s">
        <v>72</v>
      </c>
      <c r="E143" s="19" t="s">
        <v>13</v>
      </c>
      <c r="F143" s="18" t="s">
        <v>16</v>
      </c>
      <c r="G143" s="18">
        <v>168.14547875721772</v>
      </c>
      <c r="H143" s="18">
        <v>107.48725978793662</v>
      </c>
    </row>
    <row r="144" spans="1:9">
      <c r="A144" s="6" t="s">
        <v>106</v>
      </c>
      <c r="B144" s="6" t="s">
        <v>41</v>
      </c>
      <c r="C144" s="6"/>
      <c r="D144" s="3" t="s">
        <v>72</v>
      </c>
      <c r="E144" s="1" t="s">
        <v>13</v>
      </c>
      <c r="F144" s="6" t="s">
        <v>16</v>
      </c>
      <c r="G144" s="6">
        <v>208.60003320686107</v>
      </c>
      <c r="H144" s="6">
        <v>232.26163057948366</v>
      </c>
    </row>
    <row r="145" spans="1:8">
      <c r="A145" s="6" t="s">
        <v>106</v>
      </c>
      <c r="B145" s="6" t="s">
        <v>42</v>
      </c>
      <c r="C145" s="6"/>
      <c r="D145" s="3" t="s">
        <v>72</v>
      </c>
      <c r="E145" s="1" t="s">
        <v>13</v>
      </c>
      <c r="F145" s="6" t="s">
        <v>16</v>
      </c>
      <c r="G145" s="6">
        <v>1073.3568163535599</v>
      </c>
      <c r="H145" s="6">
        <v>855.84149287180071</v>
      </c>
    </row>
    <row r="146" spans="1:8">
      <c r="A146" s="6" t="s">
        <v>106</v>
      </c>
      <c r="B146" s="6" t="s">
        <v>43</v>
      </c>
      <c r="C146" s="6"/>
      <c r="D146" s="3" t="s">
        <v>72</v>
      </c>
      <c r="E146" s="1" t="s">
        <v>13</v>
      </c>
      <c r="F146" s="6" t="s">
        <v>16</v>
      </c>
      <c r="G146" s="6">
        <v>595.71207450713746</v>
      </c>
      <c r="H146" s="6">
        <v>407.55152822968381</v>
      </c>
    </row>
    <row r="147" spans="1:8">
      <c r="A147" s="6" t="s">
        <v>106</v>
      </c>
      <c r="B147" s="6" t="s">
        <v>44</v>
      </c>
      <c r="C147" s="6"/>
      <c r="D147" s="3" t="s">
        <v>72</v>
      </c>
      <c r="E147" s="1" t="s">
        <v>12</v>
      </c>
      <c r="F147" s="6" t="s">
        <v>16</v>
      </c>
      <c r="G147" s="6">
        <v>22.247394390644907</v>
      </c>
      <c r="H147" s="6">
        <v>32.787048185286409</v>
      </c>
    </row>
    <row r="148" spans="1:8">
      <c r="A148" s="6" t="s">
        <v>106</v>
      </c>
      <c r="B148" s="6" t="s">
        <v>45</v>
      </c>
      <c r="C148" s="6"/>
      <c r="D148" s="3" t="s">
        <v>72</v>
      </c>
      <c r="E148" s="1" t="s">
        <v>12</v>
      </c>
      <c r="F148" s="6" t="s">
        <v>16</v>
      </c>
      <c r="G148" s="6">
        <v>26.655978468788369</v>
      </c>
      <c r="H148" s="6">
        <v>13.260706975397243</v>
      </c>
    </row>
    <row r="149" spans="1:8">
      <c r="A149" s="6" t="s">
        <v>106</v>
      </c>
      <c r="B149" s="6" t="s">
        <v>46</v>
      </c>
      <c r="C149" s="6"/>
      <c r="D149" s="3" t="s">
        <v>72</v>
      </c>
      <c r="E149" s="1" t="s">
        <v>11</v>
      </c>
      <c r="F149" s="6" t="s">
        <v>16</v>
      </c>
      <c r="G149" s="6">
        <v>11.2</v>
      </c>
      <c r="H149" s="6">
        <v>11.2</v>
      </c>
    </row>
    <row r="150" spans="1:8">
      <c r="A150" s="6" t="s">
        <v>106</v>
      </c>
      <c r="B150" s="6" t="s">
        <v>46</v>
      </c>
      <c r="C150" s="6"/>
      <c r="D150" s="3" t="s">
        <v>72</v>
      </c>
      <c r="E150" s="1" t="s">
        <v>13</v>
      </c>
      <c r="F150" s="6" t="s">
        <v>16</v>
      </c>
      <c r="G150" s="6">
        <v>2.6248949600000002</v>
      </c>
      <c r="H150" s="6">
        <v>2.6131970650000005</v>
      </c>
    </row>
    <row r="151" spans="1:8">
      <c r="A151" s="6" t="s">
        <v>106</v>
      </c>
      <c r="B151" s="6" t="s">
        <v>47</v>
      </c>
      <c r="C151" s="6"/>
      <c r="D151" s="3" t="s">
        <v>72</v>
      </c>
      <c r="E151" s="1" t="s">
        <v>13</v>
      </c>
      <c r="F151" s="6" t="s">
        <v>16</v>
      </c>
      <c r="G151" s="6">
        <v>32.550404475000001</v>
      </c>
      <c r="H151" s="6">
        <v>37.745974335000007</v>
      </c>
    </row>
    <row r="152" spans="1:8">
      <c r="A152" s="6" t="s">
        <v>106</v>
      </c>
      <c r="B152" s="6" t="s">
        <v>48</v>
      </c>
      <c r="C152" s="6"/>
      <c r="D152" s="3" t="s">
        <v>72</v>
      </c>
      <c r="E152" s="1" t="s">
        <v>13</v>
      </c>
      <c r="F152" s="6" t="s">
        <v>16</v>
      </c>
      <c r="G152" s="6">
        <v>7.3788648450000007</v>
      </c>
      <c r="H152" s="6">
        <v>7.4069691550000005</v>
      </c>
    </row>
    <row r="153" spans="1:8">
      <c r="A153" s="6" t="s">
        <v>106</v>
      </c>
      <c r="B153" s="6" t="s">
        <v>49</v>
      </c>
      <c r="C153" s="6"/>
      <c r="D153" s="3" t="s">
        <v>72</v>
      </c>
      <c r="E153" s="1" t="s">
        <v>11</v>
      </c>
      <c r="F153" s="6" t="s">
        <v>16</v>
      </c>
      <c r="G153" s="6">
        <v>20.537498941680003</v>
      </c>
      <c r="H153" s="6">
        <v>2.3284379356000007</v>
      </c>
    </row>
    <row r="154" spans="1:8">
      <c r="A154" s="6" t="s">
        <v>106</v>
      </c>
      <c r="B154" s="6" t="s">
        <v>49</v>
      </c>
      <c r="C154" s="6"/>
      <c r="D154" s="3" t="s">
        <v>72</v>
      </c>
      <c r="E154" s="1" t="s">
        <v>13</v>
      </c>
      <c r="F154" s="6" t="s">
        <v>16</v>
      </c>
      <c r="G154" s="6">
        <v>9.4255087348499984</v>
      </c>
      <c r="H154" s="6">
        <v>0.68227261989999999</v>
      </c>
    </row>
    <row r="155" spans="1:8" s="17" customFormat="1">
      <c r="A155" s="6" t="s">
        <v>106</v>
      </c>
      <c r="B155" s="13" t="s">
        <v>50</v>
      </c>
      <c r="C155" s="13"/>
      <c r="D155" s="4" t="s">
        <v>72</v>
      </c>
      <c r="E155" s="2" t="s">
        <v>12</v>
      </c>
      <c r="F155" s="13" t="s">
        <v>16</v>
      </c>
      <c r="G155" s="13">
        <v>-1113.2773844720011</v>
      </c>
      <c r="H155" s="13">
        <v>-2331.8585896210016</v>
      </c>
    </row>
    <row r="156" spans="1:8" s="17" customFormat="1">
      <c r="A156" s="6" t="s">
        <v>106</v>
      </c>
      <c r="B156" s="13" t="s">
        <v>51</v>
      </c>
      <c r="C156" s="13"/>
      <c r="D156" s="4" t="s">
        <v>72</v>
      </c>
      <c r="E156" s="2" t="s">
        <v>12</v>
      </c>
      <c r="F156" s="13" t="s">
        <v>16</v>
      </c>
      <c r="G156" s="13">
        <v>-539.54816358300025</v>
      </c>
      <c r="H156" s="13">
        <v>-627.89361999393418</v>
      </c>
    </row>
    <row r="157" spans="1:8" s="17" customFormat="1">
      <c r="A157" s="6" t="s">
        <v>106</v>
      </c>
      <c r="B157" s="13" t="s">
        <v>52</v>
      </c>
      <c r="C157" s="13"/>
      <c r="D157" s="4" t="s">
        <v>72</v>
      </c>
      <c r="E157" s="2" t="s">
        <v>12</v>
      </c>
      <c r="F157" s="13" t="s">
        <v>16</v>
      </c>
      <c r="G157" s="13">
        <v>398.23467395433374</v>
      </c>
      <c r="H157" s="13">
        <v>190.68727319766683</v>
      </c>
    </row>
    <row r="158" spans="1:8" s="17" customFormat="1">
      <c r="A158" s="6" t="s">
        <v>106</v>
      </c>
      <c r="B158" s="13" t="s">
        <v>53</v>
      </c>
      <c r="C158" s="13"/>
      <c r="D158" s="4" t="s">
        <v>72</v>
      </c>
      <c r="E158" s="2" t="s">
        <v>12</v>
      </c>
      <c r="F158" s="13" t="s">
        <v>16</v>
      </c>
      <c r="G158" s="13">
        <v>32.713064501333356</v>
      </c>
      <c r="H158" s="13">
        <v>30.604430864333366</v>
      </c>
    </row>
    <row r="159" spans="1:8" s="17" customFormat="1">
      <c r="A159" s="6" t="s">
        <v>106</v>
      </c>
      <c r="B159" s="13" t="s">
        <v>54</v>
      </c>
      <c r="C159" s="13"/>
      <c r="D159" s="4" t="s">
        <v>72</v>
      </c>
      <c r="E159" s="2" t="s">
        <v>12</v>
      </c>
      <c r="F159" s="13" t="s">
        <v>16</v>
      </c>
      <c r="G159" s="13">
        <v>16.874066395999971</v>
      </c>
      <c r="H159" s="13">
        <v>167.7779584580002</v>
      </c>
    </row>
    <row r="160" spans="1:8" s="17" customFormat="1">
      <c r="A160" s="6" t="s">
        <v>106</v>
      </c>
      <c r="B160" s="13" t="s">
        <v>55</v>
      </c>
      <c r="C160" s="13"/>
      <c r="D160" s="4" t="s">
        <v>72</v>
      </c>
      <c r="E160" s="2" t="s">
        <v>12</v>
      </c>
      <c r="F160" s="13" t="s">
        <v>16</v>
      </c>
      <c r="G160" s="13">
        <v>94.907947698666746</v>
      </c>
      <c r="H160" s="13">
        <v>263.90989043356683</v>
      </c>
    </row>
    <row r="161" spans="1:11" s="17" customFormat="1">
      <c r="A161" s="6" t="s">
        <v>106</v>
      </c>
      <c r="B161" s="13" t="s">
        <v>56</v>
      </c>
      <c r="C161" s="13"/>
      <c r="D161" s="4" t="s">
        <v>72</v>
      </c>
      <c r="E161" s="2" t="s">
        <v>12</v>
      </c>
      <c r="F161" s="13" t="s">
        <v>16</v>
      </c>
      <c r="G161" s="13">
        <v>67.765661113333394</v>
      </c>
      <c r="H161" s="13">
        <v>66.200916723333393</v>
      </c>
    </row>
    <row r="162" spans="1:11" s="17" customFormat="1">
      <c r="A162" s="6" t="s">
        <v>106</v>
      </c>
      <c r="B162" s="13" t="s">
        <v>57</v>
      </c>
      <c r="C162" s="13"/>
      <c r="D162" s="4" t="s">
        <v>72</v>
      </c>
      <c r="E162" s="2" t="s">
        <v>12</v>
      </c>
      <c r="F162" s="13" t="s">
        <v>16</v>
      </c>
      <c r="G162" s="13">
        <v>20.808700407000014</v>
      </c>
      <c r="H162" s="13">
        <v>46.992794581333371</v>
      </c>
    </row>
    <row r="163" spans="1:11" s="17" customFormat="1">
      <c r="A163" s="6" t="s">
        <v>106</v>
      </c>
      <c r="B163" s="13" t="s">
        <v>58</v>
      </c>
      <c r="C163" s="13"/>
      <c r="D163" s="4" t="s">
        <v>72</v>
      </c>
      <c r="E163" s="2" t="s">
        <v>12</v>
      </c>
      <c r="F163" s="13" t="s">
        <v>16</v>
      </c>
      <c r="G163" s="13">
        <v>-44.851275593666692</v>
      </c>
      <c r="H163" s="13">
        <v>-47.789190768000026</v>
      </c>
    </row>
    <row r="164" spans="1:11" s="17" customFormat="1">
      <c r="A164" s="6" t="s">
        <v>106</v>
      </c>
      <c r="B164" s="13" t="s">
        <v>59</v>
      </c>
      <c r="C164" s="13"/>
      <c r="D164" s="4" t="s">
        <v>72</v>
      </c>
      <c r="E164" s="2" t="s">
        <v>12</v>
      </c>
      <c r="F164" s="13" t="s">
        <v>16</v>
      </c>
      <c r="G164" s="13">
        <v>258.23757001166695</v>
      </c>
      <c r="H164" s="13">
        <v>213.21286139266681</v>
      </c>
    </row>
    <row r="165" spans="1:11" s="17" customFormat="1">
      <c r="A165" s="6" t="s">
        <v>106</v>
      </c>
      <c r="B165" s="13" t="s">
        <v>60</v>
      </c>
      <c r="C165" s="13"/>
      <c r="D165" s="4" t="s">
        <v>72</v>
      </c>
      <c r="E165" s="2" t="s">
        <v>12</v>
      </c>
      <c r="F165" s="13" t="s">
        <v>16</v>
      </c>
      <c r="G165" s="13">
        <v>87.833718188333407</v>
      </c>
      <c r="H165" s="13">
        <v>130.33318975600014</v>
      </c>
    </row>
    <row r="166" spans="1:11">
      <c r="A166" s="6" t="s">
        <v>106</v>
      </c>
      <c r="B166" s="18" t="s">
        <v>61</v>
      </c>
      <c r="C166" s="18"/>
      <c r="D166" s="20" t="s">
        <v>72</v>
      </c>
      <c r="E166" s="19" t="s">
        <v>12</v>
      </c>
      <c r="F166" s="18" t="s">
        <v>16</v>
      </c>
      <c r="G166" s="21">
        <v>-1127.20587</v>
      </c>
      <c r="H166" s="21">
        <v>-39.235129999999998</v>
      </c>
      <c r="I166" s="17"/>
      <c r="J166" s="17"/>
      <c r="K166" s="17"/>
    </row>
    <row r="167" spans="1:11">
      <c r="A167" s="6" t="s">
        <v>106</v>
      </c>
      <c r="B167" s="6" t="s">
        <v>62</v>
      </c>
      <c r="C167" s="6"/>
      <c r="D167" s="3" t="s">
        <v>72</v>
      </c>
      <c r="E167" s="1" t="s">
        <v>11</v>
      </c>
      <c r="F167" s="6" t="s">
        <v>16</v>
      </c>
      <c r="G167" s="6">
        <v>862.10880000000009</v>
      </c>
      <c r="H167" s="6">
        <v>289.42200000000003</v>
      </c>
    </row>
    <row r="168" spans="1:11">
      <c r="A168" s="6" t="s">
        <v>106</v>
      </c>
      <c r="B168" s="6" t="s">
        <v>62</v>
      </c>
      <c r="C168" s="6"/>
      <c r="D168" s="3" t="s">
        <v>72</v>
      </c>
      <c r="E168" s="1" t="s">
        <v>12</v>
      </c>
      <c r="F168" s="6" t="s">
        <v>16</v>
      </c>
      <c r="G168" s="6" t="s">
        <v>117</v>
      </c>
      <c r="H168" s="6" t="s">
        <v>117</v>
      </c>
    </row>
    <row r="169" spans="1:11">
      <c r="A169" s="6" t="s">
        <v>106</v>
      </c>
      <c r="B169" s="6" t="s">
        <v>63</v>
      </c>
      <c r="C169" s="6"/>
      <c r="D169" s="3" t="s">
        <v>72</v>
      </c>
      <c r="E169" s="1" t="s">
        <v>11</v>
      </c>
      <c r="F169" s="6" t="s">
        <v>16</v>
      </c>
      <c r="G169" s="6">
        <v>13.318290580000001</v>
      </c>
      <c r="H169" s="6">
        <v>32.018281784230737</v>
      </c>
    </row>
    <row r="170" spans="1:11">
      <c r="A170" s="6" t="s">
        <v>106</v>
      </c>
      <c r="B170" s="6" t="s">
        <v>63</v>
      </c>
      <c r="C170" s="6"/>
      <c r="D170" s="3" t="s">
        <v>72</v>
      </c>
      <c r="E170" s="1" t="s">
        <v>13</v>
      </c>
      <c r="F170" s="6" t="s">
        <v>16</v>
      </c>
      <c r="G170" s="6">
        <v>4.6527035800000007</v>
      </c>
      <c r="H170" s="6">
        <v>8.6051648000000007</v>
      </c>
    </row>
    <row r="171" spans="1:11">
      <c r="A171" s="6" t="s">
        <v>106</v>
      </c>
      <c r="B171" s="6" t="s">
        <v>64</v>
      </c>
      <c r="C171" s="6"/>
      <c r="D171" s="3" t="s">
        <v>72</v>
      </c>
      <c r="E171" s="1" t="s">
        <v>11</v>
      </c>
      <c r="F171" s="6" t="s">
        <v>16</v>
      </c>
      <c r="G171" s="6">
        <v>9.9573005071680001</v>
      </c>
      <c r="H171" s="6">
        <v>5.2457109600000003</v>
      </c>
    </row>
    <row r="172" spans="1:11">
      <c r="A172" s="6" t="s">
        <v>106</v>
      </c>
      <c r="B172" s="6" t="s">
        <v>64</v>
      </c>
      <c r="C172" s="6"/>
      <c r="D172" s="3" t="s">
        <v>72</v>
      </c>
      <c r="E172" s="1" t="s">
        <v>12</v>
      </c>
      <c r="F172" s="6" t="s">
        <v>16</v>
      </c>
      <c r="G172" s="6">
        <v>40.233017000000004</v>
      </c>
      <c r="H172" s="6">
        <v>8.6818457000000002</v>
      </c>
    </row>
    <row r="173" spans="1:11">
      <c r="A173" s="6" t="s">
        <v>106</v>
      </c>
      <c r="B173" s="6" t="s">
        <v>64</v>
      </c>
      <c r="C173" s="6"/>
      <c r="D173" s="3" t="s">
        <v>72</v>
      </c>
      <c r="E173" s="1" t="s">
        <v>13</v>
      </c>
      <c r="F173" s="6" t="s">
        <v>16</v>
      </c>
      <c r="G173" s="6">
        <v>64.528054066134004</v>
      </c>
      <c r="H173" s="6">
        <v>48.469035299999994</v>
      </c>
    </row>
    <row r="174" spans="1:11">
      <c r="A174" s="6" t="s">
        <v>106</v>
      </c>
      <c r="B174" s="6" t="s">
        <v>65</v>
      </c>
      <c r="C174" s="6"/>
      <c r="D174" s="3" t="s">
        <v>72</v>
      </c>
      <c r="E174" s="1" t="s">
        <v>11</v>
      </c>
      <c r="F174" s="6" t="s">
        <v>16</v>
      </c>
      <c r="G174" s="6">
        <v>209.09759359999998</v>
      </c>
      <c r="H174" s="6">
        <v>217.001722</v>
      </c>
    </row>
    <row r="175" spans="1:11">
      <c r="A175" s="6" t="s">
        <v>106</v>
      </c>
      <c r="B175" s="6" t="s">
        <v>65</v>
      </c>
      <c r="C175" s="6"/>
      <c r="D175" s="3" t="s">
        <v>72</v>
      </c>
      <c r="E175" s="1" t="s">
        <v>13</v>
      </c>
      <c r="F175" s="6" t="s">
        <v>16</v>
      </c>
      <c r="G175" s="6">
        <v>1074.4401128800002</v>
      </c>
      <c r="H175" s="6">
        <v>532.68280170000003</v>
      </c>
    </row>
    <row r="176" spans="1:11">
      <c r="A176" s="6" t="s">
        <v>106</v>
      </c>
      <c r="B176" s="6" t="s">
        <v>71</v>
      </c>
      <c r="C176" s="6"/>
      <c r="D176" s="3" t="s">
        <v>72</v>
      </c>
      <c r="E176" s="1" t="s">
        <v>11</v>
      </c>
      <c r="F176" s="6" t="s">
        <v>16</v>
      </c>
      <c r="G176" s="6">
        <v>0.755664</v>
      </c>
      <c r="H176" s="6">
        <v>0.77551600000000009</v>
      </c>
    </row>
    <row r="177" spans="1:8">
      <c r="A177" s="6" t="s">
        <v>106</v>
      </c>
      <c r="B177" s="6" t="s">
        <v>71</v>
      </c>
      <c r="C177" s="6"/>
      <c r="D177" s="3" t="s">
        <v>72</v>
      </c>
      <c r="E177" s="1" t="s">
        <v>12</v>
      </c>
      <c r="F177" s="6" t="s">
        <v>16</v>
      </c>
      <c r="G177" s="6">
        <v>11.210880000000001</v>
      </c>
      <c r="H177" s="6">
        <v>13.048500000000001</v>
      </c>
    </row>
    <row r="178" spans="1:8">
      <c r="A178" s="6" t="s">
        <v>106</v>
      </c>
      <c r="B178" s="6" t="s">
        <v>71</v>
      </c>
      <c r="C178" s="6"/>
      <c r="D178" s="3" t="s">
        <v>72</v>
      </c>
      <c r="E178" s="1" t="s">
        <v>13</v>
      </c>
      <c r="F178" s="6" t="s">
        <v>16</v>
      </c>
      <c r="G178" s="6">
        <v>0.54298500000000005</v>
      </c>
      <c r="H178" s="6">
        <v>0.52330874999999999</v>
      </c>
    </row>
    <row r="179" spans="1:8">
      <c r="A179" s="6" t="s">
        <v>106</v>
      </c>
      <c r="B179" s="14" t="s">
        <v>66</v>
      </c>
      <c r="C179" s="14"/>
      <c r="D179" s="9" t="s">
        <v>75</v>
      </c>
      <c r="E179" s="1" t="s">
        <v>88</v>
      </c>
      <c r="F179" s="14" t="s">
        <v>16</v>
      </c>
      <c r="G179" s="6">
        <v>36.899001771500004</v>
      </c>
      <c r="H179" s="6">
        <v>20.583440284000002</v>
      </c>
    </row>
    <row r="180" spans="1:8">
      <c r="A180" s="6" t="s">
        <v>106</v>
      </c>
      <c r="B180" s="14" t="s">
        <v>66</v>
      </c>
      <c r="C180" s="14"/>
      <c r="D180" s="9" t="s">
        <v>75</v>
      </c>
      <c r="E180" s="1" t="s">
        <v>87</v>
      </c>
      <c r="F180" s="14" t="s">
        <v>16</v>
      </c>
      <c r="G180" s="6">
        <v>36.957643112164952</v>
      </c>
      <c r="H180" s="6">
        <v>6.1244718389853077</v>
      </c>
    </row>
    <row r="181" spans="1:8">
      <c r="A181" s="6" t="s">
        <v>106</v>
      </c>
      <c r="B181" s="14" t="s">
        <v>67</v>
      </c>
      <c r="C181" s="14"/>
      <c r="D181" s="14"/>
      <c r="E181" s="1" t="s">
        <v>89</v>
      </c>
      <c r="F181" s="14" t="s">
        <v>16</v>
      </c>
      <c r="G181" s="6">
        <v>4.3954938814325675E-2</v>
      </c>
      <c r="H181" s="6">
        <v>2.3613201857164326E-2</v>
      </c>
    </row>
    <row r="182" spans="1:8">
      <c r="A182" s="6" t="s">
        <v>106</v>
      </c>
      <c r="B182" s="14" t="s">
        <v>67</v>
      </c>
      <c r="C182" s="14"/>
      <c r="D182" s="14"/>
      <c r="E182" s="1" t="s">
        <v>87</v>
      </c>
      <c r="F182" s="14" t="s">
        <v>16</v>
      </c>
      <c r="G182" s="6">
        <v>0.10237903328400001</v>
      </c>
      <c r="H182" s="6">
        <v>6.511947684000001E-2</v>
      </c>
    </row>
    <row r="183" spans="1:8">
      <c r="A183" s="6" t="s">
        <v>106</v>
      </c>
      <c r="B183" s="14" t="s">
        <v>68</v>
      </c>
      <c r="C183" s="14"/>
      <c r="D183" s="14"/>
      <c r="E183" s="1" t="s">
        <v>88</v>
      </c>
      <c r="F183" s="14" t="s">
        <v>16</v>
      </c>
      <c r="G183" s="6">
        <v>0.39105000000000001</v>
      </c>
      <c r="H183" s="6">
        <v>0.67243192500000004</v>
      </c>
    </row>
    <row r="184" spans="1:8">
      <c r="A184" s="6" t="s">
        <v>106</v>
      </c>
      <c r="B184" s="14" t="s">
        <v>68</v>
      </c>
      <c r="C184" s="14"/>
      <c r="D184" s="14"/>
      <c r="E184" s="1" t="s">
        <v>89</v>
      </c>
      <c r="F184" s="14" t="s">
        <v>16</v>
      </c>
      <c r="G184" s="6">
        <v>6.3294345714343256</v>
      </c>
      <c r="H184" s="6">
        <v>6.0752779295269512</v>
      </c>
    </row>
    <row r="185" spans="1:8">
      <c r="A185" s="6" t="s">
        <v>106</v>
      </c>
      <c r="B185" s="14" t="s">
        <v>68</v>
      </c>
      <c r="C185" s="14"/>
      <c r="D185" s="14"/>
      <c r="E185" s="1" t="s">
        <v>87</v>
      </c>
      <c r="F185" s="14" t="s">
        <v>16</v>
      </c>
      <c r="G185" s="6">
        <v>1.2916200000000002</v>
      </c>
      <c r="H185" s="6">
        <v>3.607912E-3</v>
      </c>
    </row>
    <row r="186" spans="1:8">
      <c r="A186" s="6" t="s">
        <v>106</v>
      </c>
      <c r="B186" s="14" t="s">
        <v>69</v>
      </c>
      <c r="C186" s="14"/>
      <c r="D186" s="14"/>
      <c r="E186" s="1" t="s">
        <v>89</v>
      </c>
      <c r="F186" s="14" t="s">
        <v>16</v>
      </c>
      <c r="G186" s="6">
        <v>1.1027330285724311</v>
      </c>
      <c r="H186" s="6">
        <v>0.14420847571441681</v>
      </c>
    </row>
    <row r="187" spans="1:8">
      <c r="A187" s="6" t="s">
        <v>106</v>
      </c>
      <c r="B187" s="14" t="s">
        <v>69</v>
      </c>
      <c r="C187" s="14"/>
      <c r="D187" s="14"/>
      <c r="E187" s="1" t="s">
        <v>87</v>
      </c>
      <c r="F187" s="14" t="s">
        <v>16</v>
      </c>
      <c r="G187" s="6">
        <v>2.2539287100000003</v>
      </c>
      <c r="H187" s="6">
        <v>0.28979808792000011</v>
      </c>
    </row>
    <row r="188" spans="1:8">
      <c r="A188" s="6" t="s">
        <v>106</v>
      </c>
      <c r="B188" s="14" t="s">
        <v>30</v>
      </c>
      <c r="C188" s="14"/>
      <c r="D188" s="14"/>
      <c r="E188" s="1" t="s">
        <v>89</v>
      </c>
      <c r="F188" s="14" t="s">
        <v>16</v>
      </c>
      <c r="G188" s="6">
        <v>7.4674285714353616E-4</v>
      </c>
      <c r="H188" s="6">
        <v>7.1206198979656573E-4</v>
      </c>
    </row>
    <row r="189" spans="1:8">
      <c r="A189" s="6" t="s">
        <v>106</v>
      </c>
      <c r="B189" s="14" t="s">
        <v>30</v>
      </c>
      <c r="C189" s="14"/>
      <c r="D189" s="14"/>
      <c r="E189" s="1" t="s">
        <v>87</v>
      </c>
      <c r="F189" s="14" t="s">
        <v>16</v>
      </c>
      <c r="G189" s="6">
        <v>194.04262966000002</v>
      </c>
      <c r="H189" s="6">
        <v>35.441954497668632</v>
      </c>
    </row>
    <row r="190" spans="1:8">
      <c r="A190" s="6" t="s">
        <v>106</v>
      </c>
      <c r="B190" s="14" t="s">
        <v>38</v>
      </c>
      <c r="C190" s="14"/>
      <c r="D190" s="14"/>
      <c r="E190" s="1" t="s">
        <v>89</v>
      </c>
      <c r="F190" s="14" t="s">
        <v>16</v>
      </c>
      <c r="G190" s="6">
        <v>9.7680000000088807E-3</v>
      </c>
      <c r="H190" s="6">
        <v>1.2175114285725354E-2</v>
      </c>
    </row>
    <row r="191" spans="1:8">
      <c r="A191" s="6" t="s">
        <v>106</v>
      </c>
      <c r="B191" s="14" t="s">
        <v>38</v>
      </c>
      <c r="C191" s="14"/>
      <c r="D191" s="14"/>
      <c r="E191" s="1" t="s">
        <v>87</v>
      </c>
      <c r="F191" s="14" t="s">
        <v>16</v>
      </c>
      <c r="G191" s="6">
        <v>125.49635373000001</v>
      </c>
      <c r="H191" s="6">
        <v>40.059141725825199</v>
      </c>
    </row>
    <row r="192" spans="1:8">
      <c r="A192" s="6" t="s">
        <v>106</v>
      </c>
      <c r="B192" s="14" t="s">
        <v>39</v>
      </c>
      <c r="C192" s="14"/>
      <c r="D192" s="14"/>
      <c r="E192" s="1" t="s">
        <v>89</v>
      </c>
      <c r="F192" s="14" t="s">
        <v>16</v>
      </c>
      <c r="G192" s="6">
        <v>1.26657142857258</v>
      </c>
      <c r="H192" s="6">
        <v>0.29569571428598318</v>
      </c>
    </row>
    <row r="193" spans="1:8">
      <c r="A193" s="6" t="s">
        <v>106</v>
      </c>
      <c r="B193" s="14" t="s">
        <v>39</v>
      </c>
      <c r="C193" s="14"/>
      <c r="D193" s="14"/>
      <c r="E193" s="1" t="s">
        <v>87</v>
      </c>
      <c r="F193" s="14" t="s">
        <v>16</v>
      </c>
      <c r="G193" s="6">
        <v>1.5641826860000003</v>
      </c>
      <c r="H193" s="6">
        <v>0.62739603080000006</v>
      </c>
    </row>
    <row r="194" spans="1:8">
      <c r="A194" s="6" t="s">
        <v>106</v>
      </c>
      <c r="B194" s="14" t="s">
        <v>64</v>
      </c>
      <c r="C194" s="14"/>
      <c r="D194" s="14"/>
      <c r="E194" s="1" t="s">
        <v>88</v>
      </c>
      <c r="F194" s="14" t="s">
        <v>16</v>
      </c>
      <c r="G194" s="6">
        <v>0.26487615000000003</v>
      </c>
      <c r="H194" s="6">
        <v>0.13171289999999999</v>
      </c>
    </row>
    <row r="195" spans="1:8">
      <c r="A195" s="6" t="s">
        <v>106</v>
      </c>
      <c r="B195" s="14" t="s">
        <v>64</v>
      </c>
      <c r="C195" s="14"/>
      <c r="D195" s="14"/>
      <c r="E195" s="1" t="s">
        <v>89</v>
      </c>
      <c r="F195" s="14" t="s">
        <v>16</v>
      </c>
      <c r="G195" s="6">
        <v>1.3237792857154893</v>
      </c>
      <c r="H195" s="6">
        <v>0.62720428571485598</v>
      </c>
    </row>
    <row r="196" spans="1:8">
      <c r="A196" s="6" t="s">
        <v>106</v>
      </c>
      <c r="B196" s="14" t="s">
        <v>64</v>
      </c>
      <c r="C196" s="14"/>
      <c r="D196" s="14"/>
      <c r="E196" s="1" t="s">
        <v>87</v>
      </c>
      <c r="F196" s="14" t="s">
        <v>16</v>
      </c>
      <c r="G196" s="6">
        <v>0.58321912000000009</v>
      </c>
      <c r="H196" s="6">
        <v>0.28098751999999994</v>
      </c>
    </row>
    <row r="197" spans="1:8">
      <c r="A197" s="6" t="s">
        <v>106</v>
      </c>
      <c r="B197" s="14" t="s">
        <v>70</v>
      </c>
      <c r="C197" s="14"/>
      <c r="D197" s="14"/>
      <c r="E197" s="1" t="s">
        <v>89</v>
      </c>
      <c r="F197" s="14" t="s">
        <v>16</v>
      </c>
      <c r="G197" s="6">
        <v>2.2000000000020003E-3</v>
      </c>
      <c r="H197" s="6">
        <v>2.3571428571450004E-3</v>
      </c>
    </row>
    <row r="198" spans="1:8">
      <c r="A198" s="6" t="s">
        <v>106</v>
      </c>
      <c r="B198" s="14" t="s">
        <v>70</v>
      </c>
      <c r="C198" s="14"/>
      <c r="D198" s="14"/>
      <c r="E198" s="1" t="s">
        <v>87</v>
      </c>
      <c r="F198" s="14" t="s">
        <v>16</v>
      </c>
      <c r="G198" s="6">
        <v>6.1600000000000009E-2</v>
      </c>
      <c r="H198" s="6">
        <v>0.13200000000000001</v>
      </c>
    </row>
    <row r="199" spans="1:8">
      <c r="A199" s="6" t="s">
        <v>106</v>
      </c>
      <c r="B199" s="15" t="s">
        <v>71</v>
      </c>
      <c r="C199" s="15"/>
      <c r="D199" s="14"/>
      <c r="E199" s="1" t="s">
        <v>88</v>
      </c>
      <c r="F199" s="14" t="s">
        <v>16</v>
      </c>
      <c r="G199" s="6">
        <v>5.21525052631579E-2</v>
      </c>
      <c r="H199" s="6">
        <v>6.2447434210526315E-2</v>
      </c>
    </row>
    <row r="200" spans="1:8">
      <c r="A200" s="6" t="s">
        <v>106</v>
      </c>
      <c r="B200" s="15" t="s">
        <v>71</v>
      </c>
      <c r="C200" s="15"/>
      <c r="D200" s="14"/>
      <c r="E200" s="1" t="s">
        <v>89</v>
      </c>
      <c r="F200" s="14" t="s">
        <v>16</v>
      </c>
      <c r="G200" s="6">
        <v>0.86917533834665484</v>
      </c>
      <c r="H200" s="6">
        <v>0.98246541353472772</v>
      </c>
    </row>
    <row r="201" spans="1:8">
      <c r="A201" s="6" t="s">
        <v>106</v>
      </c>
      <c r="B201" s="15" t="s">
        <v>71</v>
      </c>
      <c r="C201" s="15"/>
      <c r="D201" s="14"/>
      <c r="E201" s="1" t="s">
        <v>87</v>
      </c>
      <c r="F201" s="14" t="s">
        <v>16</v>
      </c>
      <c r="G201" s="6">
        <v>0.19646935578947369</v>
      </c>
      <c r="H201" s="6">
        <v>0.22302905263157899</v>
      </c>
    </row>
    <row r="204" spans="1:8" s="17" customFormat="1">
      <c r="B204" s="36"/>
      <c r="E204" s="22"/>
    </row>
    <row r="205" spans="1:8" s="17" customFormat="1"/>
    <row r="206" spans="1:8" s="17" customFormat="1"/>
    <row r="207" spans="1:8" s="17" customFormat="1">
      <c r="G207" s="32"/>
    </row>
    <row r="208" spans="1:8" s="17" customFormat="1">
      <c r="G208" s="32"/>
    </row>
    <row r="209" s="17" customFormat="1"/>
    <row r="210" s="17" customFormat="1"/>
    <row r="211" s="17" customFormat="1"/>
    <row r="212" s="17" customFormat="1"/>
    <row r="213" s="17" customFormat="1"/>
    <row r="214" s="17" customFormat="1"/>
    <row r="215" s="17" customFormat="1"/>
    <row r="216" s="17" customFormat="1"/>
    <row r="217" s="17" customFormat="1"/>
    <row r="218" s="17" customFormat="1"/>
    <row r="219" s="17" customFormat="1"/>
    <row r="220" s="17" customFormat="1"/>
    <row r="227" s="17" customFormat="1"/>
    <row r="228" s="17" customFormat="1"/>
    <row r="229" s="17" customFormat="1"/>
    <row r="230" s="17" customFormat="1"/>
    <row r="231" s="17" customFormat="1"/>
    <row r="232" s="17" customFormat="1"/>
    <row r="233" s="17" customFormat="1"/>
    <row r="234" s="17" customFormat="1"/>
    <row r="235" s="17" customFormat="1"/>
    <row r="236" s="17" customFormat="1"/>
    <row r="237" s="17" customFormat="1"/>
    <row r="238" s="17" customFormat="1"/>
    <row r="239" s="17" customFormat="1"/>
    <row r="240" s="17" customFormat="1"/>
    <row r="241" s="17" customFormat="1"/>
    <row r="242" s="17" customFormat="1"/>
    <row r="310" spans="2:3">
      <c r="B310" s="7"/>
      <c r="C310" s="7"/>
    </row>
    <row r="312" spans="2:3">
      <c r="B312" s="7"/>
      <c r="C312" s="7"/>
    </row>
    <row r="338" spans="2:3">
      <c r="B338" s="7"/>
      <c r="C338" s="7"/>
    </row>
    <row r="340" spans="2:3">
      <c r="B340" s="7"/>
      <c r="C340" s="7"/>
    </row>
    <row r="374" spans="2:3">
      <c r="B374" s="7"/>
      <c r="C374" s="7"/>
    </row>
    <row r="376" spans="2:3">
      <c r="B376" s="7"/>
      <c r="C376" s="7"/>
    </row>
    <row r="378" spans="2:3">
      <c r="B378" s="7"/>
      <c r="C378" s="7"/>
    </row>
  </sheetData>
  <sortState ref="B197:Q219">
    <sortCondition ref="B197:B219"/>
    <sortCondition ref="E197:E219"/>
  </sortState>
  <conditionalFormatting sqref="G10:H201">
    <cfRule type="cellIs" dxfId="1" priority="1" operator="equal">
      <formula>"NO"</formula>
    </cfRule>
    <cfRule type="cellIs" dxfId="0" priority="2" operator="equal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readme</vt:lpstr>
      <vt:lpstr>change_log</vt:lpstr>
      <vt:lpstr>EM_for_U_KCA</vt:lpstr>
    </vt:vector>
  </TitlesOfParts>
  <Company>Bundesverwaltung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Guillevic Myriam BAFU</dc:creator>
  <cp:lastModifiedBy>Guillevic Myriam BAFU</cp:lastModifiedBy>
  <dcterms:created xsi:type="dcterms:W3CDTF">2021-12-10T07:17:17Z</dcterms:created>
  <dcterms:modified xsi:type="dcterms:W3CDTF">2023-04-25T07:04:45Z</dcterms:modified>
</cp:coreProperties>
</file>